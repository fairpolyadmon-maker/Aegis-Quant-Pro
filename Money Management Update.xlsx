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081F179-2880-4437-B7C0-4F1DFBAD4DF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MASANIELLO" sheetId="1" r:id="rId1"/>
    <sheet name="Sheet1" sheetId="2" r:id="rId2"/>
    <sheet name="algoritmo" sheetId="3" r:id="rId3"/>
    <sheet name="ISTRUZIONI" sheetId="4" r:id="rId4"/>
  </sheets>
  <definedNames>
    <definedName name="_xlnm._FilterDatabase" localSheetId="0" hidden="1">MASANIELLO!$H$3:$L$8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gto8+foELf7LL1HPOpYYHgnmFvpQ=="/>
    </ext>
  </extLst>
</workbook>
</file>

<file path=xl/calcChain.xml><?xml version="1.0" encoding="utf-8"?>
<calcChain xmlns="http://schemas.openxmlformats.org/spreadsheetml/2006/main">
  <c r="A21" i="3" l="1"/>
  <c r="A20" i="3"/>
  <c r="A19" i="3"/>
  <c r="C18" i="3"/>
  <c r="A18" i="3"/>
  <c r="B18" i="3" s="1"/>
  <c r="A17" i="3"/>
  <c r="C16" i="3"/>
  <c r="D18" i="1" s="1"/>
  <c r="B16" i="3"/>
  <c r="A16" i="3"/>
  <c r="F2" i="3"/>
  <c r="L3" i="3"/>
  <c r="O9" i="3"/>
  <c r="P10" i="3"/>
  <c r="Q11" i="3"/>
  <c r="R11" i="3"/>
  <c r="Q10" i="3"/>
  <c r="P9" i="3"/>
  <c r="O8" i="3"/>
  <c r="R10" i="3"/>
  <c r="Q9" i="3"/>
  <c r="P8" i="3"/>
  <c r="O7" i="3"/>
  <c r="R9" i="3"/>
  <c r="Q8" i="3"/>
  <c r="P7" i="3"/>
  <c r="O6" i="3"/>
  <c r="R8" i="3"/>
  <c r="Q7" i="3"/>
  <c r="P6" i="3"/>
  <c r="O5" i="3"/>
  <c r="R7" i="3"/>
  <c r="Q6" i="3"/>
  <c r="P5" i="3"/>
  <c r="O4" i="3"/>
  <c r="R6" i="3"/>
  <c r="Q5" i="3"/>
  <c r="P4" i="3"/>
  <c r="O3" i="3"/>
  <c r="N8" i="3"/>
  <c r="N7" i="3"/>
  <c r="N6" i="3"/>
  <c r="N5" i="3"/>
  <c r="N4" i="3"/>
  <c r="N3" i="3"/>
  <c r="C3" i="3"/>
  <c r="D5" i="1"/>
  <c r="K8" i="1"/>
  <c r="L8" i="1"/>
  <c r="L4" i="3"/>
  <c r="L2" i="3"/>
  <c r="L1" i="3"/>
  <c r="A3" i="3"/>
  <c r="B3" i="3"/>
  <c r="I3" i="3"/>
  <c r="H3" i="3"/>
  <c r="A4" i="3"/>
  <c r="B4" i="3"/>
  <c r="I4" i="3"/>
  <c r="H4" i="3"/>
  <c r="A5" i="3"/>
  <c r="B5" i="3"/>
  <c r="I5" i="3"/>
  <c r="H5" i="3"/>
  <c r="A6" i="3"/>
  <c r="B6" i="3"/>
  <c r="I6" i="3"/>
  <c r="H6" i="3"/>
  <c r="A7" i="3"/>
  <c r="B7" i="3"/>
  <c r="I7" i="3"/>
  <c r="H7" i="3"/>
  <c r="A8" i="3"/>
  <c r="B8" i="3"/>
  <c r="I8" i="3"/>
  <c r="H8" i="3"/>
  <c r="A9" i="3"/>
  <c r="B9" i="3"/>
  <c r="I9" i="3"/>
  <c r="H9" i="3"/>
  <c r="A10" i="3"/>
  <c r="B10" i="3"/>
  <c r="I10" i="3"/>
  <c r="H10" i="3"/>
  <c r="A11" i="3"/>
  <c r="B11" i="3"/>
  <c r="I11" i="3"/>
  <c r="H11" i="3"/>
  <c r="D3" i="3"/>
  <c r="F3" i="3"/>
  <c r="C4" i="3"/>
  <c r="D4" i="3"/>
  <c r="G2" i="3"/>
  <c r="G3" i="3"/>
  <c r="F4" i="3"/>
  <c r="C5" i="3"/>
  <c r="D5" i="3"/>
  <c r="F5" i="3"/>
  <c r="C6" i="3"/>
  <c r="D6" i="3"/>
  <c r="G4" i="3"/>
  <c r="G5" i="3"/>
  <c r="F6" i="3"/>
  <c r="C7" i="3"/>
  <c r="D7" i="3"/>
  <c r="F7" i="3"/>
  <c r="C8" i="3"/>
  <c r="D8" i="3"/>
  <c r="F8" i="3"/>
  <c r="C9" i="3"/>
  <c r="D9" i="3"/>
  <c r="F9" i="3"/>
  <c r="C10" i="3"/>
  <c r="D10" i="3"/>
  <c r="G6" i="3"/>
  <c r="G7" i="3"/>
  <c r="G8" i="3"/>
  <c r="G9" i="3"/>
  <c r="F10" i="3"/>
  <c r="C11" i="3"/>
  <c r="D11" i="3"/>
  <c r="G10" i="3"/>
  <c r="F11" i="3"/>
  <c r="O1" i="3"/>
  <c r="M3" i="3"/>
  <c r="M4" i="3"/>
  <c r="M5" i="3"/>
  <c r="M6" i="3"/>
  <c r="M7" i="3"/>
  <c r="M8" i="3"/>
  <c r="M9" i="3"/>
  <c r="P1" i="3"/>
  <c r="M10" i="3"/>
  <c r="Q1" i="3"/>
  <c r="M11" i="3"/>
  <c r="R1" i="3"/>
  <c r="L5" i="3"/>
  <c r="G11" i="3"/>
  <c r="A102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BM1" i="3"/>
  <c r="BN1" i="3"/>
  <c r="BO1" i="3"/>
  <c r="BP1" i="3"/>
  <c r="BQ1" i="3"/>
  <c r="BR1" i="3"/>
  <c r="BS1" i="3"/>
  <c r="BT1" i="3"/>
  <c r="BU1" i="3"/>
  <c r="BV1" i="3"/>
  <c r="BW1" i="3"/>
  <c r="BX1" i="3"/>
  <c r="BY1" i="3"/>
  <c r="BZ1" i="3"/>
  <c r="CA1" i="3"/>
  <c r="CB1" i="3"/>
  <c r="CC1" i="3"/>
  <c r="CD1" i="3"/>
  <c r="CE1" i="3"/>
  <c r="CF1" i="3"/>
  <c r="CG1" i="3"/>
  <c r="CH1" i="3"/>
  <c r="CI1" i="3"/>
  <c r="CJ1" i="3"/>
  <c r="CK1" i="3"/>
  <c r="CL1" i="3"/>
  <c r="CM1" i="3"/>
  <c r="CN1" i="3"/>
  <c r="CO1" i="3"/>
  <c r="CP1" i="3"/>
  <c r="CQ1" i="3"/>
  <c r="CR1" i="3"/>
  <c r="CS1" i="3"/>
  <c r="CT1" i="3"/>
  <c r="CU1" i="3"/>
  <c r="CV1" i="3"/>
  <c r="CW1" i="3"/>
  <c r="CX1" i="3"/>
  <c r="CY1" i="3"/>
  <c r="CZ1" i="3"/>
  <c r="DA1" i="3"/>
  <c r="DB1" i="3"/>
  <c r="DC1" i="3"/>
  <c r="DD1" i="3"/>
  <c r="DE1" i="3"/>
  <c r="DF1" i="3"/>
  <c r="DG1" i="3"/>
  <c r="DH1" i="3"/>
  <c r="DI1" i="3"/>
  <c r="DJ1" i="3"/>
  <c r="DJ101" i="3"/>
  <c r="DI101" i="3"/>
  <c r="DH101" i="3"/>
  <c r="DG101" i="3"/>
  <c r="DF101" i="3"/>
  <c r="DE101" i="3"/>
  <c r="DD101" i="3"/>
  <c r="DC101" i="3"/>
  <c r="DB101" i="3"/>
  <c r="DA101" i="3"/>
  <c r="CZ101" i="3"/>
  <c r="CY101" i="3"/>
  <c r="CX101" i="3"/>
  <c r="CW101" i="3"/>
  <c r="CV101" i="3"/>
  <c r="CU101" i="3"/>
  <c r="CT101" i="3"/>
  <c r="CS101" i="3"/>
  <c r="CR101" i="3"/>
  <c r="CQ101" i="3"/>
  <c r="CP101" i="3"/>
  <c r="CO101" i="3"/>
  <c r="CN101" i="3"/>
  <c r="CM101" i="3"/>
  <c r="CL101" i="3"/>
  <c r="CK101" i="3"/>
  <c r="CJ101" i="3"/>
  <c r="CI101" i="3"/>
  <c r="CH101" i="3"/>
  <c r="CG101" i="3"/>
  <c r="CF101" i="3"/>
  <c r="CE101" i="3"/>
  <c r="CD101" i="3"/>
  <c r="CC101" i="3"/>
  <c r="CB101" i="3"/>
  <c r="CA101" i="3"/>
  <c r="BZ101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Q101" i="3"/>
  <c r="P101" i="3"/>
  <c r="O101" i="3"/>
  <c r="N101" i="3"/>
  <c r="A101" i="3"/>
  <c r="DJ100" i="3"/>
  <c r="DI100" i="3"/>
  <c r="DH100" i="3"/>
  <c r="DG100" i="3"/>
  <c r="DF100" i="3"/>
  <c r="DE100" i="3"/>
  <c r="DD100" i="3"/>
  <c r="DC100" i="3"/>
  <c r="DB100" i="3"/>
  <c r="DA100" i="3"/>
  <c r="CZ100" i="3"/>
  <c r="CY100" i="3"/>
  <c r="CX100" i="3"/>
  <c r="CW100" i="3"/>
  <c r="CV100" i="3"/>
  <c r="CU100" i="3"/>
  <c r="CT100" i="3"/>
  <c r="CS100" i="3"/>
  <c r="CR100" i="3"/>
  <c r="CQ100" i="3"/>
  <c r="CP100" i="3"/>
  <c r="CO100" i="3"/>
  <c r="CN100" i="3"/>
  <c r="CM100" i="3"/>
  <c r="CL100" i="3"/>
  <c r="CK100" i="3"/>
  <c r="CJ100" i="3"/>
  <c r="CI100" i="3"/>
  <c r="CH100" i="3"/>
  <c r="CG100" i="3"/>
  <c r="CF100" i="3"/>
  <c r="CE100" i="3"/>
  <c r="CD100" i="3"/>
  <c r="CC100" i="3"/>
  <c r="CB100" i="3"/>
  <c r="CA100" i="3"/>
  <c r="BZ100" i="3"/>
  <c r="BY100" i="3"/>
  <c r="BX100" i="3"/>
  <c r="BW100" i="3"/>
  <c r="BV100" i="3"/>
  <c r="BU100" i="3"/>
  <c r="BT100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A100" i="3"/>
  <c r="DJ99" i="3"/>
  <c r="DI99" i="3"/>
  <c r="DH99" i="3"/>
  <c r="DG99" i="3"/>
  <c r="DF99" i="3"/>
  <c r="DE99" i="3"/>
  <c r="DD99" i="3"/>
  <c r="DC99" i="3"/>
  <c r="DB99" i="3"/>
  <c r="DA99" i="3"/>
  <c r="CZ99" i="3"/>
  <c r="CY99" i="3"/>
  <c r="CX99" i="3"/>
  <c r="CW99" i="3"/>
  <c r="CV99" i="3"/>
  <c r="CU99" i="3"/>
  <c r="CT99" i="3"/>
  <c r="CS99" i="3"/>
  <c r="CR99" i="3"/>
  <c r="CQ99" i="3"/>
  <c r="CP99" i="3"/>
  <c r="CO99" i="3"/>
  <c r="CN99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A99" i="3"/>
  <c r="DJ98" i="3"/>
  <c r="DI98" i="3"/>
  <c r="DH98" i="3"/>
  <c r="DG98" i="3"/>
  <c r="DF98" i="3"/>
  <c r="DE98" i="3"/>
  <c r="DD98" i="3"/>
  <c r="DC98" i="3"/>
  <c r="DB98" i="3"/>
  <c r="DA98" i="3"/>
  <c r="CZ98" i="3"/>
  <c r="CY98" i="3"/>
  <c r="CX98" i="3"/>
  <c r="CW98" i="3"/>
  <c r="CV98" i="3"/>
  <c r="CU98" i="3"/>
  <c r="CT98" i="3"/>
  <c r="CS98" i="3"/>
  <c r="CR98" i="3"/>
  <c r="CQ98" i="3"/>
  <c r="CP98" i="3"/>
  <c r="CO98" i="3"/>
  <c r="CN98" i="3"/>
  <c r="CM98" i="3"/>
  <c r="CL98" i="3"/>
  <c r="CK98" i="3"/>
  <c r="CJ98" i="3"/>
  <c r="CI98" i="3"/>
  <c r="CH98" i="3"/>
  <c r="CG98" i="3"/>
  <c r="CF98" i="3"/>
  <c r="CE98" i="3"/>
  <c r="CD98" i="3"/>
  <c r="CC98" i="3"/>
  <c r="CB98" i="3"/>
  <c r="CA98" i="3"/>
  <c r="BZ98" i="3"/>
  <c r="BY98" i="3"/>
  <c r="BX98" i="3"/>
  <c r="BW98" i="3"/>
  <c r="BV98" i="3"/>
  <c r="BU98" i="3"/>
  <c r="BT98" i="3"/>
  <c r="BS98" i="3"/>
  <c r="BR98" i="3"/>
  <c r="BQ98" i="3"/>
  <c r="BP98" i="3"/>
  <c r="BO98" i="3"/>
  <c r="BN98" i="3"/>
  <c r="BM98" i="3"/>
  <c r="BL98" i="3"/>
  <c r="BK98" i="3"/>
  <c r="BJ98" i="3"/>
  <c r="BI98" i="3"/>
  <c r="BH98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A98" i="3"/>
  <c r="DJ97" i="3"/>
  <c r="DI97" i="3"/>
  <c r="DH97" i="3"/>
  <c r="DG97" i="3"/>
  <c r="DF97" i="3"/>
  <c r="DE97" i="3"/>
  <c r="DD97" i="3"/>
  <c r="DC97" i="3"/>
  <c r="DB97" i="3"/>
  <c r="DA97" i="3"/>
  <c r="CZ97" i="3"/>
  <c r="CY97" i="3"/>
  <c r="CX97" i="3"/>
  <c r="CW97" i="3"/>
  <c r="CV97" i="3"/>
  <c r="CU97" i="3"/>
  <c r="CT97" i="3"/>
  <c r="CS97" i="3"/>
  <c r="CR97" i="3"/>
  <c r="CQ97" i="3"/>
  <c r="CP97" i="3"/>
  <c r="CO97" i="3"/>
  <c r="CN97" i="3"/>
  <c r="CM97" i="3"/>
  <c r="CL97" i="3"/>
  <c r="CK97" i="3"/>
  <c r="CJ97" i="3"/>
  <c r="CI97" i="3"/>
  <c r="CH97" i="3"/>
  <c r="CG97" i="3"/>
  <c r="CF97" i="3"/>
  <c r="CE97" i="3"/>
  <c r="CD97" i="3"/>
  <c r="CC97" i="3"/>
  <c r="CB97" i="3"/>
  <c r="CA97" i="3"/>
  <c r="BZ97" i="3"/>
  <c r="BY97" i="3"/>
  <c r="BX97" i="3"/>
  <c r="BW97" i="3"/>
  <c r="BV97" i="3"/>
  <c r="BU97" i="3"/>
  <c r="BT97" i="3"/>
  <c r="BS97" i="3"/>
  <c r="BR97" i="3"/>
  <c r="BQ97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A97" i="3"/>
  <c r="DJ96" i="3"/>
  <c r="DI96" i="3"/>
  <c r="DH96" i="3"/>
  <c r="DG96" i="3"/>
  <c r="DF96" i="3"/>
  <c r="DE96" i="3"/>
  <c r="DD96" i="3"/>
  <c r="DC96" i="3"/>
  <c r="DB96" i="3"/>
  <c r="DA96" i="3"/>
  <c r="CZ96" i="3"/>
  <c r="CY96" i="3"/>
  <c r="CX96" i="3"/>
  <c r="CW96" i="3"/>
  <c r="CV96" i="3"/>
  <c r="CU96" i="3"/>
  <c r="CT96" i="3"/>
  <c r="CS96" i="3"/>
  <c r="CR96" i="3"/>
  <c r="CQ96" i="3"/>
  <c r="CP96" i="3"/>
  <c r="CO96" i="3"/>
  <c r="CN96" i="3"/>
  <c r="CM96" i="3"/>
  <c r="CL96" i="3"/>
  <c r="CK96" i="3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A96" i="3"/>
  <c r="DJ95" i="3"/>
  <c r="DI95" i="3"/>
  <c r="DH95" i="3"/>
  <c r="DG95" i="3"/>
  <c r="DF95" i="3"/>
  <c r="DE95" i="3"/>
  <c r="DD95" i="3"/>
  <c r="DC95" i="3"/>
  <c r="DB95" i="3"/>
  <c r="DA95" i="3"/>
  <c r="CZ95" i="3"/>
  <c r="CY95" i="3"/>
  <c r="CX95" i="3"/>
  <c r="CW95" i="3"/>
  <c r="CV95" i="3"/>
  <c r="CU95" i="3"/>
  <c r="CT95" i="3"/>
  <c r="CS95" i="3"/>
  <c r="CR95" i="3"/>
  <c r="CQ95" i="3"/>
  <c r="CP95" i="3"/>
  <c r="CO95" i="3"/>
  <c r="CN95" i="3"/>
  <c r="CM95" i="3"/>
  <c r="CL95" i="3"/>
  <c r="CK95" i="3"/>
  <c r="CJ95" i="3"/>
  <c r="CI95" i="3"/>
  <c r="CH95" i="3"/>
  <c r="CG95" i="3"/>
  <c r="CF95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A95" i="3"/>
  <c r="DJ94" i="3"/>
  <c r="DI94" i="3"/>
  <c r="DH94" i="3"/>
  <c r="DG94" i="3"/>
  <c r="DF94" i="3"/>
  <c r="DE94" i="3"/>
  <c r="DD94" i="3"/>
  <c r="DC94" i="3"/>
  <c r="DB94" i="3"/>
  <c r="DA94" i="3"/>
  <c r="CZ94" i="3"/>
  <c r="CY94" i="3"/>
  <c r="CX94" i="3"/>
  <c r="CW94" i="3"/>
  <c r="CV94" i="3"/>
  <c r="CU94" i="3"/>
  <c r="CT94" i="3"/>
  <c r="CS94" i="3"/>
  <c r="CR94" i="3"/>
  <c r="CQ94" i="3"/>
  <c r="CP94" i="3"/>
  <c r="CO94" i="3"/>
  <c r="CN94" i="3"/>
  <c r="CM94" i="3"/>
  <c r="CL94" i="3"/>
  <c r="CK94" i="3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A94" i="3"/>
  <c r="DJ93" i="3"/>
  <c r="DI93" i="3"/>
  <c r="DH93" i="3"/>
  <c r="DG93" i="3"/>
  <c r="DF93" i="3"/>
  <c r="DE93" i="3"/>
  <c r="DD93" i="3"/>
  <c r="DC93" i="3"/>
  <c r="DB93" i="3"/>
  <c r="DA93" i="3"/>
  <c r="CZ93" i="3"/>
  <c r="CY93" i="3"/>
  <c r="CX93" i="3"/>
  <c r="CW93" i="3"/>
  <c r="CV93" i="3"/>
  <c r="CU93" i="3"/>
  <c r="CT93" i="3"/>
  <c r="CS93" i="3"/>
  <c r="CR93" i="3"/>
  <c r="CQ93" i="3"/>
  <c r="CP93" i="3"/>
  <c r="CO93" i="3"/>
  <c r="CN93" i="3"/>
  <c r="CM93" i="3"/>
  <c r="CL93" i="3"/>
  <c r="CK93" i="3"/>
  <c r="CJ93" i="3"/>
  <c r="CI93" i="3"/>
  <c r="CH93" i="3"/>
  <c r="CG93" i="3"/>
  <c r="CF93" i="3"/>
  <c r="CE93" i="3"/>
  <c r="CD93" i="3"/>
  <c r="CC93" i="3"/>
  <c r="CB93" i="3"/>
  <c r="CA93" i="3"/>
  <c r="BZ93" i="3"/>
  <c r="BY93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A93" i="3"/>
  <c r="DJ92" i="3"/>
  <c r="DI92" i="3"/>
  <c r="DH92" i="3"/>
  <c r="DG92" i="3"/>
  <c r="DF92" i="3"/>
  <c r="DE92" i="3"/>
  <c r="DD92" i="3"/>
  <c r="DC92" i="3"/>
  <c r="DB92" i="3"/>
  <c r="DA92" i="3"/>
  <c r="CZ92" i="3"/>
  <c r="CY92" i="3"/>
  <c r="CX92" i="3"/>
  <c r="CW92" i="3"/>
  <c r="CV92" i="3"/>
  <c r="CU92" i="3"/>
  <c r="CT92" i="3"/>
  <c r="CS92" i="3"/>
  <c r="CR92" i="3"/>
  <c r="CQ92" i="3"/>
  <c r="CP92" i="3"/>
  <c r="CO92" i="3"/>
  <c r="CN92" i="3"/>
  <c r="CM92" i="3"/>
  <c r="CL92" i="3"/>
  <c r="CK92" i="3"/>
  <c r="CJ92" i="3"/>
  <c r="CI92" i="3"/>
  <c r="CH92" i="3"/>
  <c r="CG92" i="3"/>
  <c r="CF92" i="3"/>
  <c r="CE92" i="3"/>
  <c r="CD92" i="3"/>
  <c r="CC92" i="3"/>
  <c r="CB92" i="3"/>
  <c r="CA92" i="3"/>
  <c r="BZ92" i="3"/>
  <c r="BY92" i="3"/>
  <c r="BX92" i="3"/>
  <c r="BW92" i="3"/>
  <c r="BV92" i="3"/>
  <c r="BU92" i="3"/>
  <c r="BT92" i="3"/>
  <c r="BS92" i="3"/>
  <c r="BR92" i="3"/>
  <c r="BQ92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A92" i="3"/>
  <c r="DJ91" i="3"/>
  <c r="DI91" i="3"/>
  <c r="DH91" i="3"/>
  <c r="DG91" i="3"/>
  <c r="DF91" i="3"/>
  <c r="DE91" i="3"/>
  <c r="DD91" i="3"/>
  <c r="DC91" i="3"/>
  <c r="DB91" i="3"/>
  <c r="DA91" i="3"/>
  <c r="CZ91" i="3"/>
  <c r="CY91" i="3"/>
  <c r="CX91" i="3"/>
  <c r="CW91" i="3"/>
  <c r="CV91" i="3"/>
  <c r="CU91" i="3"/>
  <c r="CT91" i="3"/>
  <c r="CS91" i="3"/>
  <c r="CR91" i="3"/>
  <c r="CQ91" i="3"/>
  <c r="CP91" i="3"/>
  <c r="CO91" i="3"/>
  <c r="CN91" i="3"/>
  <c r="CM91" i="3"/>
  <c r="CL91" i="3"/>
  <c r="CK91" i="3"/>
  <c r="CJ91" i="3"/>
  <c r="CI91" i="3"/>
  <c r="CH91" i="3"/>
  <c r="CG91" i="3"/>
  <c r="CF91" i="3"/>
  <c r="CE91" i="3"/>
  <c r="CD91" i="3"/>
  <c r="CC91" i="3"/>
  <c r="CB91" i="3"/>
  <c r="CA91" i="3"/>
  <c r="BZ91" i="3"/>
  <c r="BY91" i="3"/>
  <c r="BX91" i="3"/>
  <c r="BW91" i="3"/>
  <c r="BV91" i="3"/>
  <c r="BU91" i="3"/>
  <c r="BT91" i="3"/>
  <c r="BS91" i="3"/>
  <c r="BR91" i="3"/>
  <c r="BQ91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A91" i="3"/>
  <c r="DJ90" i="3"/>
  <c r="DI90" i="3"/>
  <c r="DH90" i="3"/>
  <c r="DG90" i="3"/>
  <c r="DF90" i="3"/>
  <c r="DE90" i="3"/>
  <c r="DD90" i="3"/>
  <c r="DC90" i="3"/>
  <c r="DB90" i="3"/>
  <c r="DA90" i="3"/>
  <c r="CZ90" i="3"/>
  <c r="CY90" i="3"/>
  <c r="CX90" i="3"/>
  <c r="CW90" i="3"/>
  <c r="CV90" i="3"/>
  <c r="CU90" i="3"/>
  <c r="CT90" i="3"/>
  <c r="CS90" i="3"/>
  <c r="CR90" i="3"/>
  <c r="CQ90" i="3"/>
  <c r="CP90" i="3"/>
  <c r="CO90" i="3"/>
  <c r="CN90" i="3"/>
  <c r="CM90" i="3"/>
  <c r="CL90" i="3"/>
  <c r="CK90" i="3"/>
  <c r="CJ90" i="3"/>
  <c r="CI90" i="3"/>
  <c r="CH90" i="3"/>
  <c r="CG90" i="3"/>
  <c r="CF90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A90" i="3"/>
  <c r="DJ89" i="3"/>
  <c r="DI89" i="3"/>
  <c r="DH89" i="3"/>
  <c r="DG89" i="3"/>
  <c r="DF89" i="3"/>
  <c r="DE89" i="3"/>
  <c r="DD89" i="3"/>
  <c r="DC89" i="3"/>
  <c r="DB89" i="3"/>
  <c r="DA89" i="3"/>
  <c r="CZ89" i="3"/>
  <c r="CY89" i="3"/>
  <c r="CX89" i="3"/>
  <c r="CW89" i="3"/>
  <c r="CV89" i="3"/>
  <c r="CU89" i="3"/>
  <c r="CT89" i="3"/>
  <c r="CS89" i="3"/>
  <c r="CR89" i="3"/>
  <c r="CQ89" i="3"/>
  <c r="CP89" i="3"/>
  <c r="CO89" i="3"/>
  <c r="CN89" i="3"/>
  <c r="CM89" i="3"/>
  <c r="CL89" i="3"/>
  <c r="CK89" i="3"/>
  <c r="CJ89" i="3"/>
  <c r="CI89" i="3"/>
  <c r="CH89" i="3"/>
  <c r="CG89" i="3"/>
  <c r="CF89" i="3"/>
  <c r="CE89" i="3"/>
  <c r="CD89" i="3"/>
  <c r="CC89" i="3"/>
  <c r="CB89" i="3"/>
  <c r="CA89" i="3"/>
  <c r="BZ89" i="3"/>
  <c r="BY89" i="3"/>
  <c r="BX89" i="3"/>
  <c r="BW89" i="3"/>
  <c r="BV89" i="3"/>
  <c r="BU89" i="3"/>
  <c r="BT89" i="3"/>
  <c r="BS89" i="3"/>
  <c r="BR89" i="3"/>
  <c r="BQ89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A89" i="3"/>
  <c r="DJ88" i="3"/>
  <c r="DI88" i="3"/>
  <c r="DH88" i="3"/>
  <c r="DG88" i="3"/>
  <c r="DF88" i="3"/>
  <c r="DE88" i="3"/>
  <c r="DD88" i="3"/>
  <c r="DC88" i="3"/>
  <c r="DB88" i="3"/>
  <c r="DA88" i="3"/>
  <c r="CZ88" i="3"/>
  <c r="CY88" i="3"/>
  <c r="CX88" i="3"/>
  <c r="CW88" i="3"/>
  <c r="CV88" i="3"/>
  <c r="CU88" i="3"/>
  <c r="CT88" i="3"/>
  <c r="CS88" i="3"/>
  <c r="CR88" i="3"/>
  <c r="CQ88" i="3"/>
  <c r="CP88" i="3"/>
  <c r="CO88" i="3"/>
  <c r="CN88" i="3"/>
  <c r="CM88" i="3"/>
  <c r="CL88" i="3"/>
  <c r="CK88" i="3"/>
  <c r="CJ88" i="3"/>
  <c r="CI88" i="3"/>
  <c r="CH88" i="3"/>
  <c r="CG88" i="3"/>
  <c r="CF88" i="3"/>
  <c r="CE88" i="3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BQ88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A88" i="3"/>
  <c r="DJ87" i="3"/>
  <c r="DI87" i="3"/>
  <c r="DH87" i="3"/>
  <c r="DG87" i="3"/>
  <c r="DF87" i="3"/>
  <c r="DE87" i="3"/>
  <c r="DD87" i="3"/>
  <c r="DC87" i="3"/>
  <c r="DB87" i="3"/>
  <c r="DA87" i="3"/>
  <c r="CZ87" i="3"/>
  <c r="CY87" i="3"/>
  <c r="CX87" i="3"/>
  <c r="CW87" i="3"/>
  <c r="CV87" i="3"/>
  <c r="CU87" i="3"/>
  <c r="CT87" i="3"/>
  <c r="CS87" i="3"/>
  <c r="CR87" i="3"/>
  <c r="CQ87" i="3"/>
  <c r="CP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A87" i="3"/>
  <c r="DJ86" i="3"/>
  <c r="DI86" i="3"/>
  <c r="DH86" i="3"/>
  <c r="DG86" i="3"/>
  <c r="DF86" i="3"/>
  <c r="DE86" i="3"/>
  <c r="DD86" i="3"/>
  <c r="DC86" i="3"/>
  <c r="DB86" i="3"/>
  <c r="DA86" i="3"/>
  <c r="CZ86" i="3"/>
  <c r="CY86" i="3"/>
  <c r="CX86" i="3"/>
  <c r="CW86" i="3"/>
  <c r="CV86" i="3"/>
  <c r="CU86" i="3"/>
  <c r="CT86" i="3"/>
  <c r="CS86" i="3"/>
  <c r="CR86" i="3"/>
  <c r="CQ86" i="3"/>
  <c r="CP86" i="3"/>
  <c r="CO86" i="3"/>
  <c r="CN86" i="3"/>
  <c r="CM86" i="3"/>
  <c r="CL86" i="3"/>
  <c r="CK86" i="3"/>
  <c r="CJ86" i="3"/>
  <c r="CI86" i="3"/>
  <c r="CH86" i="3"/>
  <c r="CG86" i="3"/>
  <c r="CF86" i="3"/>
  <c r="CE86" i="3"/>
  <c r="CD86" i="3"/>
  <c r="CC86" i="3"/>
  <c r="CB86" i="3"/>
  <c r="CA86" i="3"/>
  <c r="BZ86" i="3"/>
  <c r="BY86" i="3"/>
  <c r="BX86" i="3"/>
  <c r="BW86" i="3"/>
  <c r="BV86" i="3"/>
  <c r="BU86" i="3"/>
  <c r="BT86" i="3"/>
  <c r="BS86" i="3"/>
  <c r="BR86" i="3"/>
  <c r="BQ86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A86" i="3"/>
  <c r="DJ85" i="3"/>
  <c r="DI85" i="3"/>
  <c r="DH85" i="3"/>
  <c r="DG85" i="3"/>
  <c r="DF85" i="3"/>
  <c r="DE85" i="3"/>
  <c r="DD85" i="3"/>
  <c r="DC85" i="3"/>
  <c r="DB85" i="3"/>
  <c r="DA85" i="3"/>
  <c r="CZ85" i="3"/>
  <c r="CY85" i="3"/>
  <c r="CX85" i="3"/>
  <c r="CW85" i="3"/>
  <c r="CV85" i="3"/>
  <c r="CU85" i="3"/>
  <c r="CT85" i="3"/>
  <c r="CS85" i="3"/>
  <c r="CR85" i="3"/>
  <c r="CQ85" i="3"/>
  <c r="CP85" i="3"/>
  <c r="CO85" i="3"/>
  <c r="CN85" i="3"/>
  <c r="CM85" i="3"/>
  <c r="CL85" i="3"/>
  <c r="CK85" i="3"/>
  <c r="CJ85" i="3"/>
  <c r="CI85" i="3"/>
  <c r="CH85" i="3"/>
  <c r="CG85" i="3"/>
  <c r="CF85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A85" i="3"/>
  <c r="DJ84" i="3"/>
  <c r="DI84" i="3"/>
  <c r="DH84" i="3"/>
  <c r="DG84" i="3"/>
  <c r="DF84" i="3"/>
  <c r="DE84" i="3"/>
  <c r="DD84" i="3"/>
  <c r="DC84" i="3"/>
  <c r="DB84" i="3"/>
  <c r="DA84" i="3"/>
  <c r="CZ84" i="3"/>
  <c r="CY84" i="3"/>
  <c r="CX84" i="3"/>
  <c r="CW84" i="3"/>
  <c r="CV84" i="3"/>
  <c r="CU84" i="3"/>
  <c r="CT84" i="3"/>
  <c r="CS84" i="3"/>
  <c r="CR84" i="3"/>
  <c r="CQ84" i="3"/>
  <c r="CP84" i="3"/>
  <c r="CO84" i="3"/>
  <c r="CN84" i="3"/>
  <c r="CM84" i="3"/>
  <c r="CL84" i="3"/>
  <c r="CK84" i="3"/>
  <c r="CJ84" i="3"/>
  <c r="CI84" i="3"/>
  <c r="CH84" i="3"/>
  <c r="CG84" i="3"/>
  <c r="CF84" i="3"/>
  <c r="CE84" i="3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Q84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A84" i="3"/>
  <c r="DJ83" i="3"/>
  <c r="DI83" i="3"/>
  <c r="DH83" i="3"/>
  <c r="DG83" i="3"/>
  <c r="DF83" i="3"/>
  <c r="DE83" i="3"/>
  <c r="DD83" i="3"/>
  <c r="DC83" i="3"/>
  <c r="DB83" i="3"/>
  <c r="DA83" i="3"/>
  <c r="CZ83" i="3"/>
  <c r="CY83" i="3"/>
  <c r="CX83" i="3"/>
  <c r="CW83" i="3"/>
  <c r="CV83" i="3"/>
  <c r="CU83" i="3"/>
  <c r="CT83" i="3"/>
  <c r="CS83" i="3"/>
  <c r="CR83" i="3"/>
  <c r="CQ83" i="3"/>
  <c r="CP83" i="3"/>
  <c r="CO83" i="3"/>
  <c r="CN83" i="3"/>
  <c r="CM83" i="3"/>
  <c r="CL83" i="3"/>
  <c r="CK83" i="3"/>
  <c r="CJ83" i="3"/>
  <c r="CI83" i="3"/>
  <c r="CH83" i="3"/>
  <c r="CG83" i="3"/>
  <c r="CF83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A83" i="3"/>
  <c r="DJ82" i="3"/>
  <c r="DI82" i="3"/>
  <c r="DH82" i="3"/>
  <c r="DG82" i="3"/>
  <c r="DF82" i="3"/>
  <c r="DE82" i="3"/>
  <c r="DD82" i="3"/>
  <c r="DC82" i="3"/>
  <c r="DB82" i="3"/>
  <c r="DA82" i="3"/>
  <c r="CZ82" i="3"/>
  <c r="CY82" i="3"/>
  <c r="CX82" i="3"/>
  <c r="CW82" i="3"/>
  <c r="CV82" i="3"/>
  <c r="CU82" i="3"/>
  <c r="CT82" i="3"/>
  <c r="CS82" i="3"/>
  <c r="CR82" i="3"/>
  <c r="CQ82" i="3"/>
  <c r="CP82" i="3"/>
  <c r="CO82" i="3"/>
  <c r="CN82" i="3"/>
  <c r="CM82" i="3"/>
  <c r="CL82" i="3"/>
  <c r="CK82" i="3"/>
  <c r="CJ82" i="3"/>
  <c r="CI82" i="3"/>
  <c r="CH82" i="3"/>
  <c r="CG82" i="3"/>
  <c r="CF82" i="3"/>
  <c r="CE82" i="3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BQ82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A82" i="3"/>
  <c r="DJ81" i="3"/>
  <c r="DI81" i="3"/>
  <c r="DH81" i="3"/>
  <c r="DG81" i="3"/>
  <c r="DF81" i="3"/>
  <c r="DE81" i="3"/>
  <c r="DD81" i="3"/>
  <c r="DC81" i="3"/>
  <c r="DB81" i="3"/>
  <c r="DA81" i="3"/>
  <c r="CZ81" i="3"/>
  <c r="CY81" i="3"/>
  <c r="CX81" i="3"/>
  <c r="CW81" i="3"/>
  <c r="CV81" i="3"/>
  <c r="CU81" i="3"/>
  <c r="CT81" i="3"/>
  <c r="CS81" i="3"/>
  <c r="CR81" i="3"/>
  <c r="CQ81" i="3"/>
  <c r="CP81" i="3"/>
  <c r="CO81" i="3"/>
  <c r="CN81" i="3"/>
  <c r="CM81" i="3"/>
  <c r="CL81" i="3"/>
  <c r="CK81" i="3"/>
  <c r="CJ81" i="3"/>
  <c r="CI81" i="3"/>
  <c r="CH81" i="3"/>
  <c r="CG81" i="3"/>
  <c r="CF81" i="3"/>
  <c r="CE81" i="3"/>
  <c r="CD81" i="3"/>
  <c r="CC81" i="3"/>
  <c r="CB81" i="3"/>
  <c r="CA81" i="3"/>
  <c r="BZ81" i="3"/>
  <c r="BY81" i="3"/>
  <c r="BX81" i="3"/>
  <c r="BW81" i="3"/>
  <c r="BV81" i="3"/>
  <c r="BU81" i="3"/>
  <c r="BT81" i="3"/>
  <c r="BS81" i="3"/>
  <c r="BR81" i="3"/>
  <c r="BQ81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A81" i="3"/>
  <c r="DJ80" i="3"/>
  <c r="DI80" i="3"/>
  <c r="DH80" i="3"/>
  <c r="DG80" i="3"/>
  <c r="DF80" i="3"/>
  <c r="DE80" i="3"/>
  <c r="DD80" i="3"/>
  <c r="DC80" i="3"/>
  <c r="DB80" i="3"/>
  <c r="DA80" i="3"/>
  <c r="CZ80" i="3"/>
  <c r="CY80" i="3"/>
  <c r="CX80" i="3"/>
  <c r="CW80" i="3"/>
  <c r="CV80" i="3"/>
  <c r="CU80" i="3"/>
  <c r="CT80" i="3"/>
  <c r="CS80" i="3"/>
  <c r="CR80" i="3"/>
  <c r="CQ80" i="3"/>
  <c r="CP80" i="3"/>
  <c r="CO80" i="3"/>
  <c r="CN80" i="3"/>
  <c r="CM80" i="3"/>
  <c r="CL80" i="3"/>
  <c r="CK80" i="3"/>
  <c r="CJ80" i="3"/>
  <c r="CI80" i="3"/>
  <c r="CH80" i="3"/>
  <c r="CG80" i="3"/>
  <c r="CF80" i="3"/>
  <c r="CE80" i="3"/>
  <c r="CD80" i="3"/>
  <c r="CC80" i="3"/>
  <c r="CB80" i="3"/>
  <c r="CA80" i="3"/>
  <c r="BZ80" i="3"/>
  <c r="BY80" i="3"/>
  <c r="BX80" i="3"/>
  <c r="BW80" i="3"/>
  <c r="BV80" i="3"/>
  <c r="BU80" i="3"/>
  <c r="BT80" i="3"/>
  <c r="BS80" i="3"/>
  <c r="BR80" i="3"/>
  <c r="BQ80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A80" i="3"/>
  <c r="DJ79" i="3"/>
  <c r="DI79" i="3"/>
  <c r="DH79" i="3"/>
  <c r="DG79" i="3"/>
  <c r="DF79" i="3"/>
  <c r="DE79" i="3"/>
  <c r="DD79" i="3"/>
  <c r="DC79" i="3"/>
  <c r="DB79" i="3"/>
  <c r="DA79" i="3"/>
  <c r="CZ79" i="3"/>
  <c r="CY79" i="3"/>
  <c r="CX79" i="3"/>
  <c r="CW79" i="3"/>
  <c r="CV79" i="3"/>
  <c r="CU79" i="3"/>
  <c r="CT79" i="3"/>
  <c r="CS79" i="3"/>
  <c r="CR79" i="3"/>
  <c r="CQ79" i="3"/>
  <c r="CP79" i="3"/>
  <c r="CO79" i="3"/>
  <c r="CN79" i="3"/>
  <c r="CM79" i="3"/>
  <c r="CL79" i="3"/>
  <c r="CK79" i="3"/>
  <c r="CJ79" i="3"/>
  <c r="CI79" i="3"/>
  <c r="CH79" i="3"/>
  <c r="CG79" i="3"/>
  <c r="CF79" i="3"/>
  <c r="CE79" i="3"/>
  <c r="CD79" i="3"/>
  <c r="CC79" i="3"/>
  <c r="CB79" i="3"/>
  <c r="CA79" i="3"/>
  <c r="BZ79" i="3"/>
  <c r="BY79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A79" i="3"/>
  <c r="DJ78" i="3"/>
  <c r="DI78" i="3"/>
  <c r="DH78" i="3"/>
  <c r="DG78" i="3"/>
  <c r="DF78" i="3"/>
  <c r="DE78" i="3"/>
  <c r="DD78" i="3"/>
  <c r="DC78" i="3"/>
  <c r="DB78" i="3"/>
  <c r="DA78" i="3"/>
  <c r="CZ78" i="3"/>
  <c r="CY78" i="3"/>
  <c r="CX78" i="3"/>
  <c r="CW78" i="3"/>
  <c r="CV78" i="3"/>
  <c r="CU78" i="3"/>
  <c r="CT78" i="3"/>
  <c r="CS78" i="3"/>
  <c r="CR78" i="3"/>
  <c r="CQ78" i="3"/>
  <c r="CP78" i="3"/>
  <c r="CO78" i="3"/>
  <c r="CN78" i="3"/>
  <c r="CM78" i="3"/>
  <c r="CL78" i="3"/>
  <c r="CK78" i="3"/>
  <c r="CJ78" i="3"/>
  <c r="CI78" i="3"/>
  <c r="CH78" i="3"/>
  <c r="CG78" i="3"/>
  <c r="CF78" i="3"/>
  <c r="CE78" i="3"/>
  <c r="CD78" i="3"/>
  <c r="CC78" i="3"/>
  <c r="CB78" i="3"/>
  <c r="CA78" i="3"/>
  <c r="BZ78" i="3"/>
  <c r="BY78" i="3"/>
  <c r="BX78" i="3"/>
  <c r="BW78" i="3"/>
  <c r="BV78" i="3"/>
  <c r="BU78" i="3"/>
  <c r="BT78" i="3"/>
  <c r="BS78" i="3"/>
  <c r="BR78" i="3"/>
  <c r="BQ78" i="3"/>
  <c r="BP78" i="3"/>
  <c r="BO78" i="3"/>
  <c r="BN78" i="3"/>
  <c r="BM78" i="3"/>
  <c r="BL78" i="3"/>
  <c r="BK78" i="3"/>
  <c r="BJ78" i="3"/>
  <c r="BI78" i="3"/>
  <c r="BH78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A78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X77" i="3"/>
  <c r="CW77" i="3"/>
  <c r="CV77" i="3"/>
  <c r="CU77" i="3"/>
  <c r="CT77" i="3"/>
  <c r="CS77" i="3"/>
  <c r="CR77" i="3"/>
  <c r="CQ77" i="3"/>
  <c r="CP77" i="3"/>
  <c r="CO77" i="3"/>
  <c r="CN77" i="3"/>
  <c r="CM77" i="3"/>
  <c r="CL77" i="3"/>
  <c r="CK77" i="3"/>
  <c r="CJ77" i="3"/>
  <c r="CI77" i="3"/>
  <c r="CH77" i="3"/>
  <c r="CG77" i="3"/>
  <c r="CF77" i="3"/>
  <c r="CE77" i="3"/>
  <c r="CD77" i="3"/>
  <c r="CC77" i="3"/>
  <c r="CB77" i="3"/>
  <c r="CA77" i="3"/>
  <c r="BZ77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A77" i="3"/>
  <c r="DJ76" i="3"/>
  <c r="DI76" i="3"/>
  <c r="DH76" i="3"/>
  <c r="DG76" i="3"/>
  <c r="DF76" i="3"/>
  <c r="DE76" i="3"/>
  <c r="DD76" i="3"/>
  <c r="DC76" i="3"/>
  <c r="DB76" i="3"/>
  <c r="DA76" i="3"/>
  <c r="CZ76" i="3"/>
  <c r="CY76" i="3"/>
  <c r="CX76" i="3"/>
  <c r="CW76" i="3"/>
  <c r="CV76" i="3"/>
  <c r="CU76" i="3"/>
  <c r="CT76" i="3"/>
  <c r="CS76" i="3"/>
  <c r="CR76" i="3"/>
  <c r="CQ76" i="3"/>
  <c r="CP76" i="3"/>
  <c r="CO76" i="3"/>
  <c r="CN76" i="3"/>
  <c r="CM76" i="3"/>
  <c r="CL76" i="3"/>
  <c r="CK76" i="3"/>
  <c r="CJ76" i="3"/>
  <c r="CI76" i="3"/>
  <c r="CH76" i="3"/>
  <c r="CG76" i="3"/>
  <c r="CF76" i="3"/>
  <c r="CE76" i="3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BO76" i="3"/>
  <c r="BN76" i="3"/>
  <c r="BM76" i="3"/>
  <c r="BL76" i="3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A76" i="3"/>
  <c r="DJ75" i="3"/>
  <c r="DI75" i="3"/>
  <c r="DH75" i="3"/>
  <c r="DG75" i="3"/>
  <c r="DF75" i="3"/>
  <c r="DE75" i="3"/>
  <c r="DD75" i="3"/>
  <c r="DC75" i="3"/>
  <c r="DB75" i="3"/>
  <c r="DA75" i="3"/>
  <c r="CZ75" i="3"/>
  <c r="CY75" i="3"/>
  <c r="CX75" i="3"/>
  <c r="CW75" i="3"/>
  <c r="CV75" i="3"/>
  <c r="CU75" i="3"/>
  <c r="CT75" i="3"/>
  <c r="CS75" i="3"/>
  <c r="CR75" i="3"/>
  <c r="CQ75" i="3"/>
  <c r="CP75" i="3"/>
  <c r="CO75" i="3"/>
  <c r="CN75" i="3"/>
  <c r="CM75" i="3"/>
  <c r="CL75" i="3"/>
  <c r="CK75" i="3"/>
  <c r="CJ75" i="3"/>
  <c r="CI75" i="3"/>
  <c r="CH75" i="3"/>
  <c r="CG75" i="3"/>
  <c r="CF75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A75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CQ74" i="3"/>
  <c r="CP74" i="3"/>
  <c r="CO74" i="3"/>
  <c r="CN74" i="3"/>
  <c r="CM74" i="3"/>
  <c r="CL74" i="3"/>
  <c r="CK74" i="3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A74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CF73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A73" i="3"/>
  <c r="DJ72" i="3"/>
  <c r="DI72" i="3"/>
  <c r="DH72" i="3"/>
  <c r="DG72" i="3"/>
  <c r="DF72" i="3"/>
  <c r="DE72" i="3"/>
  <c r="DD72" i="3"/>
  <c r="DC72" i="3"/>
  <c r="DB72" i="3"/>
  <c r="DA72" i="3"/>
  <c r="CZ72" i="3"/>
  <c r="CY72" i="3"/>
  <c r="CX72" i="3"/>
  <c r="CW72" i="3"/>
  <c r="CV72" i="3"/>
  <c r="CU72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A72" i="3"/>
  <c r="DJ71" i="3"/>
  <c r="DI71" i="3"/>
  <c r="DH71" i="3"/>
  <c r="DG71" i="3"/>
  <c r="DF71" i="3"/>
  <c r="DE71" i="3"/>
  <c r="DD71" i="3"/>
  <c r="DC71" i="3"/>
  <c r="DB71" i="3"/>
  <c r="DA71" i="3"/>
  <c r="CZ71" i="3"/>
  <c r="CY71" i="3"/>
  <c r="CX71" i="3"/>
  <c r="CW71" i="3"/>
  <c r="CV71" i="3"/>
  <c r="CU71" i="3"/>
  <c r="CT71" i="3"/>
  <c r="CS71" i="3"/>
  <c r="CR71" i="3"/>
  <c r="CQ71" i="3"/>
  <c r="CP71" i="3"/>
  <c r="CO71" i="3"/>
  <c r="CN71" i="3"/>
  <c r="CM71" i="3"/>
  <c r="CL71" i="3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A71" i="3"/>
  <c r="DJ70" i="3"/>
  <c r="DI70" i="3"/>
  <c r="DH70" i="3"/>
  <c r="DG70" i="3"/>
  <c r="DF70" i="3"/>
  <c r="DE70" i="3"/>
  <c r="DD70" i="3"/>
  <c r="DC70" i="3"/>
  <c r="DB70" i="3"/>
  <c r="DA70" i="3"/>
  <c r="CZ70" i="3"/>
  <c r="CY70" i="3"/>
  <c r="CX70" i="3"/>
  <c r="CW70" i="3"/>
  <c r="CV70" i="3"/>
  <c r="CU70" i="3"/>
  <c r="CT70" i="3"/>
  <c r="CS70" i="3"/>
  <c r="CR70" i="3"/>
  <c r="CQ70" i="3"/>
  <c r="CP70" i="3"/>
  <c r="CO70" i="3"/>
  <c r="CN70" i="3"/>
  <c r="CM70" i="3"/>
  <c r="CL70" i="3"/>
  <c r="CK70" i="3"/>
  <c r="CJ70" i="3"/>
  <c r="CI70" i="3"/>
  <c r="CH70" i="3"/>
  <c r="CG70" i="3"/>
  <c r="CF70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A70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A69" i="3"/>
  <c r="DJ68" i="3"/>
  <c r="DI68" i="3"/>
  <c r="DH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H68" i="3"/>
  <c r="CG68" i="3"/>
  <c r="CF68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A68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A67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A66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A65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A64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A63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A62" i="3"/>
  <c r="DJ61" i="3"/>
  <c r="DI61" i="3"/>
  <c r="DH61" i="3"/>
  <c r="DG61" i="3"/>
  <c r="DF61" i="3"/>
  <c r="DE61" i="3"/>
  <c r="DD61" i="3"/>
  <c r="DC61" i="3"/>
  <c r="DB61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A61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A60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A59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A58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A57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A56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A55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A54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A53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A52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A51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A50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A49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A48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A47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A46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A45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A44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A43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A42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A41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A40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A39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A38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A37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A36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A35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A34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A33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A32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A31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A30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A29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A28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A27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A26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A25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A24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A23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A22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A15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A14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A13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C12" i="3"/>
  <c r="A12" i="3"/>
  <c r="B12" i="3" s="1"/>
  <c r="I12" i="3" s="1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P11" i="3"/>
  <c r="O11" i="3"/>
  <c r="N11" i="3"/>
  <c r="J11" i="3"/>
  <c r="E11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O10" i="3"/>
  <c r="N10" i="3"/>
  <c r="J10" i="3"/>
  <c r="E10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N9" i="3"/>
  <c r="J9" i="3"/>
  <c r="E9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J8" i="3"/>
  <c r="E8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J7" i="3"/>
  <c r="E7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J6" i="3"/>
  <c r="E6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J5" i="3"/>
  <c r="E5" i="3"/>
  <c r="DJ4" i="3"/>
  <c r="DI4" i="3"/>
  <c r="DH4" i="3"/>
  <c r="DG4" i="3"/>
  <c r="DF4" i="3"/>
  <c r="DE4" i="3"/>
  <c r="DD4" i="3"/>
  <c r="DC4" i="3"/>
  <c r="DB4" i="3"/>
  <c r="DA4" i="3"/>
  <c r="CZ4" i="3"/>
  <c r="CY4" i="3"/>
  <c r="CX4" i="3"/>
  <c r="CW4" i="3"/>
  <c r="CV4" i="3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J4" i="3"/>
  <c r="E4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J3" i="3"/>
  <c r="E3" i="3"/>
  <c r="DJ2" i="3"/>
  <c r="DI2" i="3"/>
  <c r="DH2" i="3"/>
  <c r="DG2" i="3"/>
  <c r="DF2" i="3"/>
  <c r="DE2" i="3"/>
  <c r="DD2" i="3"/>
  <c r="DC2" i="3"/>
  <c r="DB2" i="3"/>
  <c r="DA2" i="3"/>
  <c r="CZ2" i="3"/>
  <c r="CY2" i="3"/>
  <c r="CX2" i="3"/>
  <c r="CW2" i="3"/>
  <c r="CV2" i="3"/>
  <c r="CU2" i="3"/>
  <c r="CT2" i="3"/>
  <c r="CS2" i="3"/>
  <c r="CR2" i="3"/>
  <c r="CQ2" i="3"/>
  <c r="CP2" i="3"/>
  <c r="CO2" i="3"/>
  <c r="CN2" i="3"/>
  <c r="CM2" i="3"/>
  <c r="CL2" i="3"/>
  <c r="CK2" i="3"/>
  <c r="CJ2" i="3"/>
  <c r="CI2" i="3"/>
  <c r="CH2" i="3"/>
  <c r="CG2" i="3"/>
  <c r="CF2" i="3"/>
  <c r="CE2" i="3"/>
  <c r="CD2" i="3"/>
  <c r="CC2" i="3"/>
  <c r="CB2" i="3"/>
  <c r="CA2" i="3"/>
  <c r="BZ2" i="3"/>
  <c r="BY2" i="3"/>
  <c r="BX2" i="3"/>
  <c r="BW2" i="3"/>
  <c r="BV2" i="3"/>
  <c r="BU2" i="3"/>
  <c r="BT2" i="3"/>
  <c r="BS2" i="3"/>
  <c r="BR2" i="3"/>
  <c r="BQ2" i="3"/>
  <c r="BP2" i="3"/>
  <c r="BO2" i="3"/>
  <c r="BN2" i="3"/>
  <c r="BM2" i="3"/>
  <c r="BL2" i="3"/>
  <c r="BK2" i="3"/>
  <c r="BJ2" i="3"/>
  <c r="BI2" i="3"/>
  <c r="BH2" i="3"/>
  <c r="BG2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G5" i="2"/>
  <c r="I5" i="2"/>
  <c r="J5" i="2"/>
  <c r="F6" i="2"/>
  <c r="H6" i="2"/>
  <c r="G6" i="2"/>
  <c r="I6" i="2"/>
  <c r="J6" i="2"/>
  <c r="F7" i="2"/>
  <c r="H7" i="2"/>
  <c r="G7" i="2"/>
  <c r="I7" i="2"/>
  <c r="J7" i="2"/>
  <c r="F8" i="2"/>
  <c r="H8" i="2"/>
  <c r="G8" i="2"/>
  <c r="I8" i="2"/>
  <c r="J8" i="2"/>
  <c r="F9" i="2"/>
  <c r="H9" i="2"/>
  <c r="G9" i="2"/>
  <c r="I9" i="2"/>
  <c r="J9" i="2"/>
  <c r="F10" i="2"/>
  <c r="H10" i="2"/>
  <c r="G10" i="2"/>
  <c r="I10" i="2"/>
  <c r="J10" i="2"/>
  <c r="F11" i="2"/>
  <c r="H11" i="2"/>
  <c r="G11" i="2"/>
  <c r="I11" i="2"/>
  <c r="J11" i="2"/>
  <c r="F12" i="2"/>
  <c r="H12" i="2"/>
  <c r="G12" i="2"/>
  <c r="I12" i="2"/>
  <c r="J12" i="2"/>
  <c r="F13" i="2"/>
  <c r="H13" i="2"/>
  <c r="G13" i="2"/>
  <c r="I13" i="2"/>
  <c r="J13" i="2"/>
  <c r="F14" i="2"/>
  <c r="H14" i="2"/>
  <c r="G14" i="2"/>
  <c r="I14" i="2"/>
  <c r="J14" i="2"/>
  <c r="F15" i="2"/>
  <c r="H15" i="2"/>
  <c r="G15" i="2"/>
  <c r="I15" i="2"/>
  <c r="J15" i="2"/>
  <c r="F16" i="2"/>
  <c r="H16" i="2"/>
  <c r="G16" i="2"/>
  <c r="I16" i="2"/>
  <c r="J16" i="2"/>
  <c r="F17" i="2"/>
  <c r="H17" i="2"/>
  <c r="G17" i="2"/>
  <c r="I17" i="2"/>
  <c r="J17" i="2"/>
  <c r="F18" i="2"/>
  <c r="H18" i="2"/>
  <c r="G18" i="2"/>
  <c r="I18" i="2"/>
  <c r="J18" i="2"/>
  <c r="F19" i="2"/>
  <c r="H19" i="2"/>
  <c r="G19" i="2"/>
  <c r="I19" i="2"/>
  <c r="J19" i="2"/>
  <c r="F20" i="2"/>
  <c r="H20" i="2"/>
  <c r="G20" i="2"/>
  <c r="I20" i="2"/>
  <c r="J20" i="2"/>
  <c r="F21" i="2"/>
  <c r="H21" i="2"/>
  <c r="G21" i="2"/>
  <c r="I21" i="2"/>
  <c r="J21" i="2"/>
  <c r="F22" i="2"/>
  <c r="H22" i="2"/>
  <c r="G22" i="2"/>
  <c r="I22" i="2"/>
  <c r="J22" i="2"/>
  <c r="F23" i="2"/>
  <c r="H23" i="2"/>
  <c r="G23" i="2"/>
  <c r="I23" i="2"/>
  <c r="J23" i="2"/>
  <c r="F24" i="2"/>
  <c r="H24" i="2"/>
  <c r="G24" i="2"/>
  <c r="I24" i="2"/>
  <c r="J24" i="2"/>
  <c r="F25" i="2"/>
  <c r="H25" i="2"/>
  <c r="G25" i="2"/>
  <c r="I25" i="2"/>
  <c r="J25" i="2"/>
  <c r="F26" i="2"/>
  <c r="H26" i="2"/>
  <c r="G26" i="2"/>
  <c r="I26" i="2"/>
  <c r="J26" i="2"/>
  <c r="F27" i="2"/>
  <c r="H27" i="2"/>
  <c r="G27" i="2"/>
  <c r="I27" i="2"/>
  <c r="J27" i="2"/>
  <c r="B9" i="1"/>
  <c r="B10" i="1"/>
  <c r="B11" i="1"/>
  <c r="B12" i="1"/>
  <c r="B13" i="1"/>
  <c r="B14" i="1"/>
  <c r="D14" i="1"/>
  <c r="I12" i="1"/>
  <c r="I11" i="1"/>
  <c r="I13" i="1"/>
  <c r="F13" i="1"/>
  <c r="E13" i="1"/>
  <c r="D13" i="1"/>
  <c r="F12" i="1"/>
  <c r="E12" i="1"/>
  <c r="D12" i="1"/>
  <c r="F11" i="1"/>
  <c r="D11" i="1"/>
  <c r="E11" i="1"/>
  <c r="F10" i="1"/>
  <c r="D10" i="1"/>
  <c r="E10" i="1"/>
  <c r="F9" i="1"/>
  <c r="D9" i="1"/>
  <c r="E9" i="1"/>
  <c r="F8" i="1"/>
  <c r="E8" i="1"/>
  <c r="D8" i="1"/>
  <c r="J7" i="1"/>
  <c r="F7" i="1"/>
  <c r="D7" i="1"/>
  <c r="E7" i="1"/>
  <c r="F6" i="1"/>
  <c r="E6" i="1"/>
  <c r="D6" i="1"/>
  <c r="F5" i="1"/>
  <c r="E5" i="1"/>
  <c r="H18" i="3" l="1"/>
  <c r="D18" i="3"/>
  <c r="I18" i="3"/>
  <c r="F18" i="3"/>
  <c r="G18" i="3" s="1"/>
  <c r="E18" i="3"/>
  <c r="D16" i="3"/>
  <c r="E18" i="1" s="1"/>
  <c r="H16" i="3"/>
  <c r="E16" i="3"/>
  <c r="I16" i="3"/>
  <c r="H12" i="3"/>
  <c r="B13" i="3" s="1"/>
  <c r="D13" i="3" s="1"/>
  <c r="E15" i="1" s="1"/>
  <c r="J12" i="3"/>
  <c r="D12" i="3"/>
  <c r="E14" i="1" s="1"/>
  <c r="C19" i="3" l="1"/>
  <c r="D19" i="3"/>
  <c r="F19" i="3"/>
  <c r="G19" i="3" s="1"/>
  <c r="B19" i="3"/>
  <c r="E19" i="3" s="1"/>
  <c r="B17" i="3"/>
  <c r="F16" i="3"/>
  <c r="F12" i="3"/>
  <c r="F13" i="3"/>
  <c r="C13" i="3"/>
  <c r="D15" i="1" s="1"/>
  <c r="E12" i="3"/>
  <c r="E13" i="3"/>
  <c r="J13" i="3"/>
  <c r="I13" i="3"/>
  <c r="H13" i="3"/>
  <c r="G12" i="3"/>
  <c r="F14" i="1"/>
  <c r="F15" i="1"/>
  <c r="H19" i="3" l="1"/>
  <c r="I19" i="3"/>
  <c r="F18" i="1"/>
  <c r="G16" i="3"/>
  <c r="H17" i="3"/>
  <c r="C17" i="3"/>
  <c r="I17" i="3"/>
  <c r="G13" i="3"/>
  <c r="B14" i="3"/>
  <c r="D14" i="3" s="1"/>
  <c r="E16" i="1" s="1"/>
  <c r="C14" i="3"/>
  <c r="D16" i="1" s="1"/>
  <c r="F20" i="3" l="1"/>
  <c r="G20" i="3" s="1"/>
  <c r="B20" i="3"/>
  <c r="E20" i="3" s="1"/>
  <c r="H20" i="3"/>
  <c r="C20" i="3"/>
  <c r="D20" i="3"/>
  <c r="D19" i="1"/>
  <c r="D17" i="3"/>
  <c r="F14" i="3"/>
  <c r="F16" i="1" s="1"/>
  <c r="J14" i="3"/>
  <c r="H14" i="3"/>
  <c r="I14" i="3"/>
  <c r="E14" i="3"/>
  <c r="G14" i="3"/>
  <c r="I20" i="3" l="1"/>
  <c r="E19" i="1"/>
  <c r="E17" i="3"/>
  <c r="F17" i="3"/>
  <c r="B15" i="3"/>
  <c r="I15" i="3" s="1"/>
  <c r="C15" i="3"/>
  <c r="D17" i="1" s="1"/>
  <c r="C21" i="3" l="1"/>
  <c r="B21" i="3"/>
  <c r="E21" i="3" s="1"/>
  <c r="H21" i="3"/>
  <c r="D21" i="3"/>
  <c r="F21" i="3"/>
  <c r="G21" i="3" s="1"/>
  <c r="G17" i="3"/>
  <c r="F19" i="1"/>
  <c r="D15" i="3"/>
  <c r="E17" i="1" s="1"/>
  <c r="H15" i="3"/>
  <c r="J15" i="3"/>
  <c r="I21" i="3" l="1"/>
  <c r="E15" i="3"/>
  <c r="F15" i="3"/>
  <c r="J16" i="3"/>
  <c r="F17" i="1" l="1"/>
  <c r="G15" i="3"/>
  <c r="J17" i="3" l="1"/>
  <c r="J18" i="3" l="1"/>
  <c r="J19" i="3" l="1"/>
  <c r="J20" i="3" l="1"/>
  <c r="J21" i="3" l="1"/>
  <c r="B22" i="3"/>
  <c r="E22" i="3" l="1"/>
  <c r="J22" i="3"/>
  <c r="F22" i="3"/>
  <c r="G22" i="3" s="1"/>
  <c r="C22" i="3"/>
  <c r="D22" i="3"/>
  <c r="H22" i="3"/>
  <c r="I22" i="3"/>
  <c r="B23" i="3" l="1"/>
  <c r="F23" i="3"/>
  <c r="G23" i="3" s="1"/>
  <c r="C23" i="3"/>
  <c r="D23" i="3"/>
  <c r="H23" i="3"/>
  <c r="E23" i="3" l="1"/>
  <c r="J23" i="3"/>
  <c r="I23" i="3"/>
  <c r="B24" i="3" l="1"/>
  <c r="I24" i="3" s="1"/>
  <c r="F24" i="3"/>
  <c r="G24" i="3" s="1"/>
  <c r="D24" i="3"/>
  <c r="C24" i="3"/>
  <c r="H24" i="3"/>
  <c r="C25" i="3" l="1"/>
  <c r="F25" i="3"/>
  <c r="G25" i="3" s="1"/>
  <c r="B25" i="3"/>
  <c r="I25" i="3" s="1"/>
  <c r="D26" i="3" s="1"/>
  <c r="D25" i="3"/>
  <c r="J24" i="3"/>
  <c r="E24" i="3"/>
  <c r="H25" i="3" l="1"/>
  <c r="B26" i="3" s="1"/>
  <c r="J26" i="3" s="1"/>
  <c r="E25" i="3"/>
  <c r="C26" i="3"/>
  <c r="F26" i="3"/>
  <c r="G26" i="3" s="1"/>
  <c r="J25" i="3"/>
  <c r="H26" i="3"/>
  <c r="I26" i="3" l="1"/>
  <c r="E26" i="3"/>
  <c r="F27" i="3"/>
  <c r="G27" i="3" s="1"/>
  <c r="B27" i="3"/>
  <c r="D27" i="3"/>
  <c r="C27" i="3"/>
  <c r="J27" i="3" l="1"/>
  <c r="E27" i="3"/>
  <c r="H27" i="3"/>
  <c r="I27" i="3"/>
  <c r="B28" i="3" l="1"/>
  <c r="I28" i="3" s="1"/>
  <c r="F28" i="3"/>
  <c r="G28" i="3" s="1"/>
  <c r="C28" i="3"/>
  <c r="D28" i="3"/>
  <c r="H28" i="3" l="1"/>
  <c r="B29" i="3" s="1"/>
  <c r="F29" i="3"/>
  <c r="G29" i="3" s="1"/>
  <c r="D29" i="3"/>
  <c r="C29" i="3"/>
  <c r="J28" i="3"/>
  <c r="E28" i="3"/>
  <c r="J29" i="3" l="1"/>
  <c r="E29" i="3"/>
  <c r="H29" i="3"/>
  <c r="I29" i="3"/>
  <c r="B30" i="3" l="1"/>
  <c r="I30" i="3" s="1"/>
  <c r="F30" i="3"/>
  <c r="G30" i="3" s="1"/>
  <c r="C30" i="3"/>
  <c r="D30" i="3"/>
  <c r="F31" i="3" l="1"/>
  <c r="G31" i="3" s="1"/>
  <c r="D31" i="3"/>
  <c r="C31" i="3"/>
  <c r="H30" i="3"/>
  <c r="B31" i="3" s="1"/>
  <c r="J30" i="3"/>
  <c r="E30" i="3"/>
  <c r="J31" i="3" l="1"/>
  <c r="E31" i="3"/>
  <c r="I31" i="3"/>
  <c r="H31" i="3"/>
  <c r="F32" i="3" l="1"/>
  <c r="G32" i="3" s="1"/>
  <c r="B32" i="3"/>
  <c r="I32" i="3" s="1"/>
  <c r="C32" i="3"/>
  <c r="D32" i="3"/>
  <c r="F33" i="3" l="1"/>
  <c r="G33" i="3" s="1"/>
  <c r="D33" i="3"/>
  <c r="C33" i="3"/>
  <c r="J32" i="3"/>
  <c r="E32" i="3"/>
  <c r="H32" i="3"/>
  <c r="B33" i="3" s="1"/>
  <c r="J33" i="3" l="1"/>
  <c r="E33" i="3"/>
  <c r="I33" i="3"/>
  <c r="H33" i="3"/>
  <c r="B34" i="3" l="1"/>
  <c r="F34" i="3"/>
  <c r="G34" i="3" s="1"/>
  <c r="C34" i="3"/>
  <c r="D34" i="3"/>
  <c r="J34" i="3" l="1"/>
  <c r="E34" i="3"/>
  <c r="I34" i="3"/>
  <c r="H34" i="3"/>
  <c r="B35" i="3" l="1"/>
  <c r="H35" i="3" s="1"/>
  <c r="F35" i="3"/>
  <c r="G35" i="3" s="1"/>
  <c r="D35" i="3"/>
  <c r="C35" i="3"/>
  <c r="J35" i="3" l="1"/>
  <c r="E35" i="3"/>
  <c r="I35" i="3"/>
  <c r="F36" i="3" l="1"/>
  <c r="G36" i="3" s="1"/>
  <c r="B36" i="3"/>
  <c r="C36" i="3"/>
  <c r="D36" i="3"/>
  <c r="J36" i="3" l="1"/>
  <c r="E36" i="3"/>
  <c r="I36" i="3"/>
  <c r="H36" i="3"/>
  <c r="F37" i="3" l="1"/>
  <c r="G37" i="3" s="1"/>
  <c r="B37" i="3"/>
  <c r="I37" i="3" s="1"/>
  <c r="D37" i="3"/>
  <c r="C37" i="3"/>
  <c r="F38" i="3" l="1"/>
  <c r="G38" i="3" s="1"/>
  <c r="C38" i="3"/>
  <c r="D38" i="3"/>
  <c r="H37" i="3"/>
  <c r="B38" i="3" s="1"/>
  <c r="J37" i="3"/>
  <c r="E37" i="3"/>
  <c r="J38" i="3" l="1"/>
  <c r="E38" i="3"/>
  <c r="I38" i="3"/>
  <c r="H38" i="3"/>
  <c r="B39" i="3" l="1"/>
  <c r="F39" i="3"/>
  <c r="G39" i="3" s="1"/>
  <c r="H39" i="3"/>
  <c r="D39" i="3"/>
  <c r="C39" i="3"/>
  <c r="J39" i="3" l="1"/>
  <c r="E39" i="3"/>
  <c r="I39" i="3"/>
  <c r="B40" i="3" l="1"/>
  <c r="I40" i="3" s="1"/>
  <c r="F40" i="3"/>
  <c r="G40" i="3" s="1"/>
  <c r="C40" i="3"/>
  <c r="D40" i="3"/>
  <c r="F41" i="3" l="1"/>
  <c r="G41" i="3" s="1"/>
  <c r="D41" i="3"/>
  <c r="C41" i="3"/>
  <c r="J40" i="3"/>
  <c r="E40" i="3"/>
  <c r="H40" i="3"/>
  <c r="B41" i="3" s="1"/>
  <c r="J41" i="3" l="1"/>
  <c r="E41" i="3"/>
  <c r="H41" i="3"/>
  <c r="I41" i="3"/>
  <c r="B42" i="3" l="1"/>
  <c r="I42" i="3" s="1"/>
  <c r="F42" i="3"/>
  <c r="G42" i="3" s="1"/>
  <c r="C42" i="3"/>
  <c r="D42" i="3"/>
  <c r="F43" i="3" l="1"/>
  <c r="G43" i="3" s="1"/>
  <c r="D43" i="3"/>
  <c r="C43" i="3"/>
  <c r="H42" i="3"/>
  <c r="B43" i="3" s="1"/>
  <c r="J42" i="3"/>
  <c r="E42" i="3"/>
  <c r="J43" i="3" l="1"/>
  <c r="E43" i="3"/>
  <c r="H43" i="3"/>
  <c r="I43" i="3"/>
  <c r="B44" i="3" l="1"/>
  <c r="I44" i="3" s="1"/>
  <c r="F44" i="3"/>
  <c r="G44" i="3" s="1"/>
  <c r="C44" i="3"/>
  <c r="D44" i="3"/>
  <c r="F45" i="3" l="1"/>
  <c r="G45" i="3" s="1"/>
  <c r="D45" i="3"/>
  <c r="C45" i="3"/>
  <c r="J44" i="3"/>
  <c r="E44" i="3"/>
  <c r="H44" i="3"/>
  <c r="B45" i="3" s="1"/>
  <c r="J45" i="3" l="1"/>
  <c r="E45" i="3"/>
  <c r="H45" i="3"/>
  <c r="I45" i="3"/>
  <c r="B46" i="3" l="1"/>
  <c r="I46" i="3" s="1"/>
  <c r="F46" i="3"/>
  <c r="G46" i="3" s="1"/>
  <c r="C46" i="3"/>
  <c r="D46" i="3"/>
  <c r="H46" i="3" l="1"/>
  <c r="B47" i="3" s="1"/>
  <c r="H47" i="3" s="1"/>
  <c r="F47" i="3"/>
  <c r="G47" i="3" s="1"/>
  <c r="D47" i="3"/>
  <c r="C47" i="3"/>
  <c r="J46" i="3"/>
  <c r="E46" i="3"/>
  <c r="J47" i="3" l="1"/>
  <c r="E47" i="3"/>
  <c r="I47" i="3"/>
  <c r="F48" i="3" l="1"/>
  <c r="G48" i="3" s="1"/>
  <c r="B48" i="3"/>
  <c r="I48" i="3" s="1"/>
  <c r="C48" i="3"/>
  <c r="D48" i="3"/>
  <c r="F49" i="3" l="1"/>
  <c r="G49" i="3" s="1"/>
  <c r="D49" i="3"/>
  <c r="C49" i="3"/>
  <c r="J48" i="3"/>
  <c r="E48" i="3"/>
  <c r="H48" i="3"/>
  <c r="B49" i="3" s="1"/>
  <c r="J49" i="3" l="1"/>
  <c r="E49" i="3"/>
  <c r="I49" i="3"/>
  <c r="H49" i="3"/>
  <c r="B50" i="3" l="1"/>
  <c r="H50" i="3" s="1"/>
  <c r="F50" i="3"/>
  <c r="G50" i="3" s="1"/>
  <c r="C50" i="3"/>
  <c r="D50" i="3"/>
  <c r="I50" i="3" l="1"/>
  <c r="B51" i="3" s="1"/>
  <c r="J50" i="3"/>
  <c r="E50" i="3"/>
  <c r="D51" i="3" l="1"/>
  <c r="F51" i="3"/>
  <c r="G51" i="3" s="1"/>
  <c r="H51" i="3"/>
  <c r="C51" i="3"/>
  <c r="J51" i="3"/>
  <c r="E51" i="3"/>
  <c r="I51" i="3"/>
  <c r="F52" i="3" l="1"/>
  <c r="G52" i="3" s="1"/>
  <c r="B52" i="3"/>
  <c r="I52" i="3" s="1"/>
  <c r="C52" i="3"/>
  <c r="D52" i="3"/>
  <c r="F53" i="3" l="1"/>
  <c r="G53" i="3" s="1"/>
  <c r="D53" i="3"/>
  <c r="C53" i="3"/>
  <c r="J52" i="3"/>
  <c r="E52" i="3"/>
  <c r="H52" i="3"/>
  <c r="B53" i="3" s="1"/>
  <c r="J53" i="3" l="1"/>
  <c r="E53" i="3"/>
  <c r="I53" i="3"/>
  <c r="H53" i="3"/>
  <c r="B54" i="3" l="1"/>
  <c r="I54" i="3" s="1"/>
  <c r="F54" i="3"/>
  <c r="G54" i="3" s="1"/>
  <c r="C54" i="3"/>
  <c r="D54" i="3"/>
  <c r="F55" i="3" l="1"/>
  <c r="G55" i="3" s="1"/>
  <c r="D55" i="3"/>
  <c r="C55" i="3"/>
  <c r="H54" i="3"/>
  <c r="B55" i="3" s="1"/>
  <c r="J54" i="3"/>
  <c r="E54" i="3"/>
  <c r="J55" i="3" l="1"/>
  <c r="E55" i="3"/>
  <c r="I55" i="3"/>
  <c r="H55" i="3"/>
  <c r="B56" i="3" l="1"/>
  <c r="I56" i="3" s="1"/>
  <c r="F56" i="3"/>
  <c r="G56" i="3" s="1"/>
  <c r="C56" i="3"/>
  <c r="D56" i="3"/>
  <c r="F57" i="3" l="1"/>
  <c r="G57" i="3" s="1"/>
  <c r="D57" i="3"/>
  <c r="C57" i="3"/>
  <c r="J56" i="3"/>
  <c r="E56" i="3"/>
  <c r="H56" i="3"/>
  <c r="B57" i="3" s="1"/>
  <c r="J57" i="3" l="1"/>
  <c r="E57" i="3"/>
  <c r="H57" i="3"/>
  <c r="I57" i="3"/>
  <c r="B58" i="3" l="1"/>
  <c r="I58" i="3" s="1"/>
  <c r="F58" i="3"/>
  <c r="G58" i="3" s="1"/>
  <c r="C58" i="3"/>
  <c r="D58" i="3"/>
  <c r="H58" i="3" l="1"/>
  <c r="B59" i="3" s="1"/>
  <c r="F59" i="3"/>
  <c r="G59" i="3" s="1"/>
  <c r="D59" i="3"/>
  <c r="C59" i="3"/>
  <c r="J58" i="3"/>
  <c r="E58" i="3"/>
  <c r="J59" i="3" l="1"/>
  <c r="E59" i="3"/>
  <c r="H59" i="3"/>
  <c r="I59" i="3"/>
  <c r="B60" i="3" l="1"/>
  <c r="I60" i="3" s="1"/>
  <c r="F60" i="3"/>
  <c r="G60" i="3" s="1"/>
  <c r="C60" i="3"/>
  <c r="D60" i="3"/>
  <c r="F61" i="3" l="1"/>
  <c r="G61" i="3" s="1"/>
  <c r="D61" i="3"/>
  <c r="C61" i="3"/>
  <c r="J60" i="3"/>
  <c r="E60" i="3"/>
  <c r="H60" i="3"/>
  <c r="B61" i="3" s="1"/>
  <c r="J61" i="3" l="1"/>
  <c r="E61" i="3"/>
  <c r="H61" i="3"/>
  <c r="I61" i="3"/>
  <c r="B62" i="3" l="1"/>
  <c r="I62" i="3" s="1"/>
  <c r="F62" i="3"/>
  <c r="G62" i="3" s="1"/>
  <c r="C62" i="3"/>
  <c r="D62" i="3"/>
  <c r="H62" i="3" l="1"/>
  <c r="B63" i="3"/>
  <c r="H63" i="3" s="1"/>
  <c r="F63" i="3"/>
  <c r="G63" i="3" s="1"/>
  <c r="D63" i="3"/>
  <c r="C63" i="3"/>
  <c r="J62" i="3"/>
  <c r="E62" i="3"/>
  <c r="J63" i="3" l="1"/>
  <c r="E63" i="3"/>
  <c r="I63" i="3"/>
  <c r="B64" i="3" l="1"/>
  <c r="I64" i="3" s="1"/>
  <c r="F64" i="3"/>
  <c r="G64" i="3" s="1"/>
  <c r="C64" i="3"/>
  <c r="D64" i="3"/>
  <c r="F65" i="3" l="1"/>
  <c r="G65" i="3" s="1"/>
  <c r="D65" i="3"/>
  <c r="C65" i="3"/>
  <c r="J64" i="3"/>
  <c r="E64" i="3"/>
  <c r="H64" i="3"/>
  <c r="B65" i="3" s="1"/>
  <c r="J65" i="3" l="1"/>
  <c r="E65" i="3"/>
  <c r="I65" i="3"/>
  <c r="H65" i="3"/>
  <c r="B66" i="3" l="1"/>
  <c r="H66" i="3" s="1"/>
  <c r="F66" i="3"/>
  <c r="G66" i="3" s="1"/>
  <c r="I66" i="3"/>
  <c r="C66" i="3"/>
  <c r="D66" i="3"/>
  <c r="B67" i="3" l="1"/>
  <c r="F67" i="3"/>
  <c r="G67" i="3" s="1"/>
  <c r="D67" i="3"/>
  <c r="C67" i="3"/>
  <c r="J66" i="3"/>
  <c r="E66" i="3"/>
  <c r="J67" i="3" l="1"/>
  <c r="E67" i="3"/>
  <c r="H67" i="3"/>
  <c r="I67" i="3"/>
  <c r="F68" i="3" l="1"/>
  <c r="G68" i="3" s="1"/>
  <c r="B68" i="3"/>
  <c r="C68" i="3"/>
  <c r="D68" i="3"/>
  <c r="J68" i="3" l="1"/>
  <c r="E68" i="3"/>
  <c r="I68" i="3"/>
  <c r="H68" i="3"/>
  <c r="B69" i="3" l="1"/>
  <c r="I69" i="3" s="1"/>
  <c r="F69" i="3"/>
  <c r="G69" i="3" s="1"/>
  <c r="D69" i="3"/>
  <c r="C69" i="3"/>
  <c r="H69" i="3" l="1"/>
  <c r="B70" i="3" s="1"/>
  <c r="I70" i="3" s="1"/>
  <c r="F70" i="3"/>
  <c r="G70" i="3" s="1"/>
  <c r="C70" i="3"/>
  <c r="D70" i="3"/>
  <c r="J69" i="3"/>
  <c r="E69" i="3"/>
  <c r="H70" i="3" l="1"/>
  <c r="B71" i="3" s="1"/>
  <c r="H71" i="3" s="1"/>
  <c r="F71" i="3"/>
  <c r="G71" i="3" s="1"/>
  <c r="D71" i="3"/>
  <c r="C71" i="3"/>
  <c r="J70" i="3"/>
  <c r="E70" i="3"/>
  <c r="J71" i="3" l="1"/>
  <c r="E71" i="3"/>
  <c r="I71" i="3"/>
  <c r="B72" i="3" l="1"/>
  <c r="I72" i="3" s="1"/>
  <c r="F72" i="3"/>
  <c r="G72" i="3" s="1"/>
  <c r="C72" i="3"/>
  <c r="D72" i="3"/>
  <c r="F73" i="3" l="1"/>
  <c r="G73" i="3" s="1"/>
  <c r="D73" i="3"/>
  <c r="C73" i="3"/>
  <c r="J72" i="3"/>
  <c r="E72" i="3"/>
  <c r="H72" i="3"/>
  <c r="B73" i="3" s="1"/>
  <c r="J73" i="3" l="1"/>
  <c r="E73" i="3"/>
  <c r="H73" i="3"/>
  <c r="I73" i="3"/>
  <c r="B74" i="3" l="1"/>
  <c r="I74" i="3" s="1"/>
  <c r="F74" i="3"/>
  <c r="G74" i="3" s="1"/>
  <c r="C74" i="3"/>
  <c r="D74" i="3"/>
  <c r="H74" i="3" l="1"/>
  <c r="B75" i="3"/>
  <c r="F75" i="3"/>
  <c r="G75" i="3" s="1"/>
  <c r="D75" i="3"/>
  <c r="C75" i="3"/>
  <c r="J74" i="3"/>
  <c r="E74" i="3"/>
  <c r="J75" i="3" l="1"/>
  <c r="E75" i="3"/>
  <c r="H75" i="3"/>
  <c r="I75" i="3"/>
  <c r="B76" i="3" l="1"/>
  <c r="I76" i="3" s="1"/>
  <c r="F76" i="3"/>
  <c r="G76" i="3" s="1"/>
  <c r="C76" i="3"/>
  <c r="D76" i="3"/>
  <c r="F77" i="3" l="1"/>
  <c r="G77" i="3" s="1"/>
  <c r="D77" i="3"/>
  <c r="C77" i="3"/>
  <c r="J76" i="3"/>
  <c r="E76" i="3"/>
  <c r="H76" i="3"/>
  <c r="B77" i="3" s="1"/>
  <c r="J77" i="3" l="1"/>
  <c r="E77" i="3"/>
  <c r="H77" i="3"/>
  <c r="I77" i="3"/>
  <c r="B78" i="3" l="1"/>
  <c r="H78" i="3" s="1"/>
  <c r="F78" i="3"/>
  <c r="G78" i="3" s="1"/>
  <c r="C78" i="3"/>
  <c r="D78" i="3"/>
  <c r="I78" i="3" l="1"/>
  <c r="B79" i="3" s="1"/>
  <c r="H79" i="3" s="1"/>
  <c r="J78" i="3"/>
  <c r="E78" i="3"/>
  <c r="C79" i="3" l="1"/>
  <c r="D79" i="3"/>
  <c r="F79" i="3"/>
  <c r="G79" i="3" s="1"/>
  <c r="J79" i="3"/>
  <c r="E79" i="3"/>
  <c r="I79" i="3"/>
  <c r="B80" i="3" l="1"/>
  <c r="F80" i="3"/>
  <c r="G80" i="3" s="1"/>
  <c r="C80" i="3"/>
  <c r="D80" i="3"/>
  <c r="J80" i="3" l="1"/>
  <c r="E80" i="3"/>
  <c r="I80" i="3"/>
  <c r="H80" i="3"/>
  <c r="B81" i="3" l="1"/>
  <c r="I81" i="3" s="1"/>
  <c r="F81" i="3"/>
  <c r="G81" i="3" s="1"/>
  <c r="D81" i="3"/>
  <c r="C81" i="3"/>
  <c r="F82" i="3" l="1"/>
  <c r="G82" i="3" s="1"/>
  <c r="C82" i="3"/>
  <c r="D82" i="3"/>
  <c r="H81" i="3"/>
  <c r="B82" i="3" s="1"/>
  <c r="J81" i="3"/>
  <c r="E81" i="3"/>
  <c r="J82" i="3" l="1"/>
  <c r="E82" i="3"/>
  <c r="H82" i="3"/>
  <c r="I82" i="3"/>
  <c r="B83" i="3" l="1"/>
  <c r="F83" i="3"/>
  <c r="G83" i="3" s="1"/>
  <c r="D83" i="3"/>
  <c r="C83" i="3"/>
  <c r="J83" i="3" l="1"/>
  <c r="E83" i="3"/>
  <c r="H83" i="3"/>
  <c r="I83" i="3"/>
  <c r="F84" i="3" l="1"/>
  <c r="G84" i="3" s="1"/>
  <c r="B84" i="3"/>
  <c r="I84" i="3" s="1"/>
  <c r="C84" i="3"/>
  <c r="D84" i="3"/>
  <c r="F85" i="3" l="1"/>
  <c r="G85" i="3" s="1"/>
  <c r="D85" i="3"/>
  <c r="C85" i="3"/>
  <c r="J84" i="3"/>
  <c r="E84" i="3"/>
  <c r="H84" i="3"/>
  <c r="B85" i="3" s="1"/>
  <c r="J85" i="3" l="1"/>
  <c r="E85" i="3"/>
  <c r="I85" i="3"/>
  <c r="H85" i="3"/>
  <c r="B86" i="3" l="1"/>
  <c r="I86" i="3" s="1"/>
  <c r="F86" i="3"/>
  <c r="G86" i="3" s="1"/>
  <c r="C86" i="3"/>
  <c r="D86" i="3"/>
  <c r="H86" i="3" l="1"/>
  <c r="B87" i="3"/>
  <c r="H87" i="3" s="1"/>
  <c r="F87" i="3"/>
  <c r="G87" i="3" s="1"/>
  <c r="D87" i="3"/>
  <c r="C87" i="3"/>
  <c r="J86" i="3"/>
  <c r="E86" i="3"/>
  <c r="J87" i="3" l="1"/>
  <c r="E87" i="3"/>
  <c r="I87" i="3"/>
  <c r="B88" i="3" l="1"/>
  <c r="I88" i="3" s="1"/>
  <c r="F88" i="3"/>
  <c r="G88" i="3" s="1"/>
  <c r="C88" i="3"/>
  <c r="D88" i="3"/>
  <c r="F89" i="3" l="1"/>
  <c r="G89" i="3" s="1"/>
  <c r="D89" i="3"/>
  <c r="C89" i="3"/>
  <c r="J88" i="3"/>
  <c r="E88" i="3"/>
  <c r="H88" i="3"/>
  <c r="B89" i="3" s="1"/>
  <c r="J89" i="3" l="1"/>
  <c r="E89" i="3"/>
  <c r="H89" i="3"/>
  <c r="I89" i="3"/>
  <c r="B90" i="3" l="1"/>
  <c r="I90" i="3" s="1"/>
  <c r="F90" i="3"/>
  <c r="G90" i="3" s="1"/>
  <c r="C90" i="3"/>
  <c r="D90" i="3"/>
  <c r="H90" i="3" l="1"/>
  <c r="B91" i="3"/>
  <c r="F91" i="3"/>
  <c r="G91" i="3" s="1"/>
  <c r="D91" i="3"/>
  <c r="C91" i="3"/>
  <c r="J90" i="3"/>
  <c r="E90" i="3"/>
  <c r="J91" i="3" l="1"/>
  <c r="E91" i="3"/>
  <c r="H91" i="3"/>
  <c r="I91" i="3"/>
  <c r="B92" i="3" l="1"/>
  <c r="I92" i="3" s="1"/>
  <c r="F92" i="3"/>
  <c r="G92" i="3" s="1"/>
  <c r="C92" i="3"/>
  <c r="D92" i="3"/>
  <c r="F93" i="3" l="1"/>
  <c r="G93" i="3" s="1"/>
  <c r="D93" i="3"/>
  <c r="C93" i="3"/>
  <c r="J92" i="3"/>
  <c r="E92" i="3"/>
  <c r="H92" i="3"/>
  <c r="B93" i="3" s="1"/>
  <c r="J93" i="3" l="1"/>
  <c r="E93" i="3"/>
  <c r="I93" i="3"/>
  <c r="H93" i="3"/>
  <c r="B94" i="3" l="1"/>
  <c r="I94" i="3" s="1"/>
  <c r="F94" i="3"/>
  <c r="G94" i="3" s="1"/>
  <c r="C94" i="3"/>
  <c r="D94" i="3"/>
  <c r="H94" i="3" l="1"/>
  <c r="B95" i="3" s="1"/>
  <c r="H95" i="3" s="1"/>
  <c r="F95" i="3"/>
  <c r="G95" i="3" s="1"/>
  <c r="D95" i="3"/>
  <c r="C95" i="3"/>
  <c r="J94" i="3"/>
  <c r="E94" i="3"/>
  <c r="J95" i="3" l="1"/>
  <c r="E95" i="3"/>
  <c r="I95" i="3"/>
  <c r="B96" i="3" l="1"/>
  <c r="I96" i="3" s="1"/>
  <c r="F96" i="3"/>
  <c r="G96" i="3" s="1"/>
  <c r="C96" i="3"/>
  <c r="D96" i="3"/>
  <c r="F97" i="3" l="1"/>
  <c r="G97" i="3" s="1"/>
  <c r="D97" i="3"/>
  <c r="C97" i="3"/>
  <c r="J96" i="3"/>
  <c r="E96" i="3"/>
  <c r="H96" i="3"/>
  <c r="B97" i="3" s="1"/>
  <c r="J97" i="3" l="1"/>
  <c r="E97" i="3"/>
  <c r="I97" i="3"/>
  <c r="H97" i="3"/>
  <c r="B98" i="3" l="1"/>
  <c r="I98" i="3" s="1"/>
  <c r="F98" i="3"/>
  <c r="G98" i="3" s="1"/>
  <c r="C98" i="3"/>
  <c r="D98" i="3"/>
  <c r="H98" i="3" l="1"/>
  <c r="B99" i="3" s="1"/>
  <c r="H99" i="3" s="1"/>
  <c r="F99" i="3"/>
  <c r="G99" i="3" s="1"/>
  <c r="D99" i="3"/>
  <c r="C99" i="3"/>
  <c r="J98" i="3"/>
  <c r="E98" i="3"/>
  <c r="J99" i="3" l="1"/>
  <c r="E99" i="3"/>
  <c r="I99" i="3"/>
  <c r="F100" i="3" l="1"/>
  <c r="G100" i="3" s="1"/>
  <c r="B100" i="3"/>
  <c r="C100" i="3"/>
  <c r="D100" i="3"/>
  <c r="J100" i="3" l="1"/>
  <c r="E100" i="3"/>
  <c r="I100" i="3"/>
  <c r="H100" i="3"/>
  <c r="B101" i="3" l="1"/>
  <c r="I101" i="3" s="1"/>
  <c r="F101" i="3"/>
  <c r="G101" i="3" s="1"/>
  <c r="D101" i="3"/>
  <c r="C101" i="3"/>
  <c r="F102" i="3" l="1"/>
  <c r="G102" i="3" s="1"/>
  <c r="D102" i="3"/>
  <c r="C102" i="3"/>
  <c r="H101" i="3"/>
  <c r="B102" i="3" s="1"/>
  <c r="J101" i="3"/>
  <c r="E101" i="3"/>
  <c r="J102" i="3" l="1"/>
  <c r="E102" i="3"/>
  <c r="I16" i="1"/>
  <c r="I17" i="1"/>
  <c r="I102" i="3"/>
  <c r="H102" i="3"/>
  <c r="J17" i="1" l="1"/>
  <c r="J16" i="1"/>
</calcChain>
</file>

<file path=xl/sharedStrings.xml><?xml version="1.0" encoding="utf-8"?>
<sst xmlns="http://schemas.openxmlformats.org/spreadsheetml/2006/main" count="115" uniqueCount="74">
  <si>
    <t>Masaniello Money Management System</t>
  </si>
  <si>
    <t>Description of Trade</t>
  </si>
  <si>
    <t>N°</t>
  </si>
  <si>
    <t>Result</t>
  </si>
  <si>
    <t>Trade Amount</t>
  </si>
  <si>
    <t>Return</t>
  </si>
  <si>
    <t>Current Portfolio</t>
  </si>
  <si>
    <t>Calculations</t>
  </si>
  <si>
    <t>Normale</t>
  </si>
  <si>
    <t>W</t>
  </si>
  <si>
    <t>Intial Capital</t>
  </si>
  <si>
    <t>Total Trades</t>
  </si>
  <si>
    <t>Win Trades</t>
  </si>
  <si>
    <t>Percentage</t>
  </si>
  <si>
    <t>Wining Masaniello</t>
  </si>
  <si>
    <t>Capital Final</t>
  </si>
  <si>
    <t>Ratio</t>
  </si>
  <si>
    <t>Win Profit</t>
  </si>
  <si>
    <t>Sequence</t>
  </si>
  <si>
    <t>Number</t>
  </si>
  <si>
    <t>Events Win</t>
  </si>
  <si>
    <t>Events Loose</t>
  </si>
  <si>
    <t>Entry No:</t>
  </si>
  <si>
    <t>Win/Loss</t>
  </si>
  <si>
    <t>Initial Investment</t>
  </si>
  <si>
    <t>Profit %</t>
  </si>
  <si>
    <t>Total Investment</t>
  </si>
  <si>
    <t>L</t>
  </si>
  <si>
    <t>Cassa</t>
  </si>
  <si>
    <t>Max</t>
  </si>
  <si>
    <t>Perdite</t>
  </si>
  <si>
    <t>Vincite</t>
  </si>
  <si>
    <t>eventi</t>
  </si>
  <si>
    <t>W-L</t>
  </si>
  <si>
    <t>Investimento</t>
  </si>
  <si>
    <t>Ritorno</t>
  </si>
  <si>
    <t>Prelievo</t>
  </si>
  <si>
    <t>atesi</t>
  </si>
  <si>
    <t>quota</t>
  </si>
  <si>
    <t>Masaniello tippo</t>
  </si>
  <si>
    <t>% da reinvestire</t>
  </si>
  <si>
    <t>7MONEYMANAGEMENT - MASANIELLO</t>
  </si>
  <si>
    <t>www.7moneymanagement.com</t>
  </si>
  <si>
    <t>CONFIGURARE IL MASANIELLO</t>
  </si>
  <si>
    <t xml:space="preserve">IMPOSTATE IL CAPITALE INIZIALE  </t>
  </si>
  <si>
    <t>IMPOSTATE IL NUMERO DI EVENTI TOTALI</t>
  </si>
  <si>
    <t xml:space="preserve">IMPOSTATE IL NUMERO DI EVENTI CHE IPOTIZZATE DI VINCERE </t>
  </si>
  <si>
    <t xml:space="preserve">QUOTA O PAYOUT DI TUTTI GLI EVENTI </t>
  </si>
  <si>
    <r>
      <rPr>
        <b/>
        <sz val="9"/>
        <color rgb="FF000000"/>
        <rFont val="Arial"/>
      </rPr>
      <t>RESA DEL MASANIELLO</t>
    </r>
    <r>
      <rPr>
        <sz val="9"/>
        <color rgb="FF000000"/>
        <rFont val="Arial"/>
      </rPr>
      <t xml:space="preserve"> OGNI IMPOSTAZIONE CHE INSERITE O MODIFICATE, POTETE VEDERE IN TEMPO REALE QUALE SARA' LA VINCITA FINALE </t>
    </r>
  </si>
  <si>
    <t>IL CAPITALE FINALE SE CHIUDETE IL CICLO DEL MASANIELLO</t>
  </si>
  <si>
    <t>RESA IN PERCENTUALE TRA CAPITALE INIZIALE E CAPITALE FINALE</t>
  </si>
  <si>
    <t>VINCITA NETTA</t>
  </si>
  <si>
    <t>SEQUENZA EVENTI IN CORSO</t>
  </si>
  <si>
    <t xml:space="preserve">VI AGGIORNA SULLA SITUAZIONE DEL CICLO DEL MASANIELLO IN CORSO </t>
  </si>
  <si>
    <t>SIA IN NUMERO, CHE IN PERCENTUALE DEGLI EVENTI VINTI E EVENTI PERSI</t>
  </si>
  <si>
    <t>DESCRIZIONE EVENTO</t>
  </si>
  <si>
    <t>FACOLTATIVA (SE VOLETE SEGNARVI UN APPUNTO SULL EVENTO)</t>
  </si>
  <si>
    <t xml:space="preserve">SEGNA IL NUMERO DI EVENTO </t>
  </si>
  <si>
    <t>ESITO VINTO</t>
  </si>
  <si>
    <t>SE VINCETE L'EVENTO IMPOSTATE "W" MAIUSCOLA</t>
  </si>
  <si>
    <t>ESITO PERSO</t>
  </si>
  <si>
    <t>SE PERDETE L'EVENTO IMPOSTATE "L" MAIUSCOLA</t>
  </si>
  <si>
    <t>PUNTATA</t>
  </si>
  <si>
    <t xml:space="preserve">PUNTATA </t>
  </si>
  <si>
    <t>RITORNO</t>
  </si>
  <si>
    <t>RESA O PERDITA EVENTO</t>
  </si>
  <si>
    <t>PER MAGGIORI ISTRUZIONI E AGGIORNAMENTI</t>
  </si>
  <si>
    <t>CASSA ATTUALE</t>
  </si>
  <si>
    <t>CAPITALE ATTUALE</t>
  </si>
  <si>
    <t>SEGUICI NEI CANALI</t>
  </si>
  <si>
    <t>Open Blnc</t>
  </si>
  <si>
    <t>Close  Blnc</t>
  </si>
  <si>
    <t xml:space="preserve">Profit </t>
  </si>
  <si>
    <t>BDT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</si>
</sst>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&quot;$&quot;#,##0.00"/>
  </numFmts>
  <fonts count="19" x14ac:knownFonts="1">
    <font>
      <sz val="10"/>
      <color rgb="FF000000"/>
      <name val="Arial"/>
      <scheme val="minor"/>
    </font>
    <font>
      <b/>
      <u/>
      <sz val="18"/>
      <color theme="1"/>
      <name val="Calibri"/>
    </font>
    <font>
      <sz val="10"/>
      <name val="Arial"/>
    </font>
    <font>
      <sz val="10"/>
      <color rgb="FF000000"/>
      <name val="Arial"/>
    </font>
    <font>
      <u/>
      <sz val="14"/>
      <color theme="0"/>
      <name val="Calibri"/>
    </font>
    <font>
      <b/>
      <sz val="11"/>
      <color rgb="FF010000"/>
      <name val="Arial"/>
    </font>
    <font>
      <b/>
      <sz val="11"/>
      <color theme="1"/>
      <name val="Arial"/>
    </font>
    <font>
      <sz val="11"/>
      <color rgb="FF9C5700"/>
      <name val="Calibri"/>
    </font>
    <font>
      <b/>
      <sz val="10"/>
      <color rgb="FF010000"/>
      <name val="Arial"/>
    </font>
    <font>
      <sz val="10"/>
      <color theme="1"/>
      <name val="Arial"/>
    </font>
    <font>
      <sz val="10"/>
      <color rgb="FF010000"/>
      <name val="Arial"/>
    </font>
    <font>
      <b/>
      <sz val="10"/>
      <color theme="1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1"/>
      <color rgb="FF000000"/>
      <name val="Inconsolata"/>
    </font>
    <font>
      <sz val="10"/>
      <color theme="1"/>
      <name val="Arial"/>
      <scheme val="minor"/>
    </font>
    <font>
      <sz val="9"/>
      <color rgb="FF000000"/>
      <name val="Arial"/>
    </font>
    <font>
      <b/>
      <sz val="9"/>
      <color rgb="FF000000"/>
      <name val="Arial"/>
    </font>
    <font>
      <b/>
      <u/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FCD5B4"/>
        <bgColor rgb="FFFCD5B4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  <fill>
      <patternFill patternType="solid">
        <fgColor rgb="FFFF5B5B"/>
        <bgColor rgb="FFFF5B5B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165" fontId="10" fillId="0" borderId="7" xfId="0" applyNumberFormat="1" applyFont="1" applyBorder="1" applyAlignment="1">
      <alignment horizontal="right"/>
    </xf>
    <xf numFmtId="165" fontId="10" fillId="0" borderId="0" xfId="0" applyNumberFormat="1" applyFont="1" applyAlignment="1">
      <alignment horizontal="right"/>
    </xf>
    <xf numFmtId="165" fontId="9" fillId="0" borderId="0" xfId="0" applyNumberFormat="1" applyFont="1"/>
    <xf numFmtId="0" fontId="11" fillId="6" borderId="8" xfId="0" applyFont="1" applyFill="1" applyBorder="1" applyAlignment="1">
      <alignment horizontal="center"/>
    </xf>
    <xf numFmtId="165" fontId="11" fillId="6" borderId="8" xfId="0" applyNumberFormat="1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1" fontId="11" fillId="6" borderId="9" xfId="0" applyNumberFormat="1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10" fontId="11" fillId="6" borderId="9" xfId="0" applyNumberFormat="1" applyFont="1" applyFill="1" applyBorder="1" applyAlignment="1">
      <alignment horizontal="center"/>
    </xf>
    <xf numFmtId="4" fontId="11" fillId="6" borderId="9" xfId="0" applyNumberFormat="1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165" fontId="8" fillId="7" borderId="8" xfId="0" applyNumberFormat="1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10" fontId="8" fillId="6" borderId="9" xfId="0" applyNumberFormat="1" applyFont="1" applyFill="1" applyBorder="1" applyAlignment="1">
      <alignment horizontal="center"/>
    </xf>
    <xf numFmtId="165" fontId="8" fillId="6" borderId="9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10" fontId="9" fillId="8" borderId="9" xfId="0" applyNumberFormat="1" applyFont="1" applyFill="1" applyBorder="1" applyAlignment="1">
      <alignment horizontal="center"/>
    </xf>
    <xf numFmtId="0" fontId="11" fillId="9" borderId="9" xfId="0" applyFont="1" applyFill="1" applyBorder="1" applyAlignment="1">
      <alignment horizontal="center"/>
    </xf>
    <xf numFmtId="0" fontId="9" fillId="9" borderId="9" xfId="0" applyFont="1" applyFill="1" applyBorder="1" applyAlignment="1">
      <alignment horizontal="center"/>
    </xf>
    <xf numFmtId="10" fontId="9" fillId="9" borderId="9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3" fillId="0" borderId="0" xfId="0" applyNumberFormat="1" applyFont="1"/>
    <xf numFmtId="2" fontId="13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4" fillId="11" borderId="5" xfId="0" applyFont="1" applyFill="1" applyBorder="1" applyAlignment="1">
      <alignment horizontal="left"/>
    </xf>
    <xf numFmtId="0" fontId="11" fillId="0" borderId="0" xfId="0" applyFont="1" applyAlignment="1">
      <alignment horizontal="right"/>
    </xf>
    <xf numFmtId="1" fontId="9" fillId="0" borderId="0" xfId="0" applyNumberFormat="1" applyFont="1" applyAlignment="1">
      <alignment horizontal="left"/>
    </xf>
    <xf numFmtId="0" fontId="11" fillId="0" borderId="0" xfId="0" applyFont="1"/>
    <xf numFmtId="0" fontId="9" fillId="0" borderId="0" xfId="0" applyFont="1"/>
    <xf numFmtId="4" fontId="9" fillId="0" borderId="0" xfId="0" applyNumberFormat="1" applyFont="1"/>
    <xf numFmtId="4" fontId="9" fillId="0" borderId="0" xfId="0" applyNumberFormat="1" applyFont="1" applyAlignment="1">
      <alignment horizontal="left"/>
    </xf>
    <xf numFmtId="0" fontId="3" fillId="11" borderId="5" xfId="0" applyFont="1" applyFill="1" applyBorder="1"/>
    <xf numFmtId="0" fontId="15" fillId="0" borderId="0" xfId="0" applyFont="1"/>
    <xf numFmtId="0" fontId="11" fillId="10" borderId="5" xfId="0" applyFont="1" applyFill="1" applyBorder="1"/>
    <xf numFmtId="0" fontId="9" fillId="10" borderId="5" xfId="0" applyFont="1" applyFill="1" applyBorder="1"/>
    <xf numFmtId="0" fontId="9" fillId="10" borderId="5" xfId="0" applyFont="1" applyFill="1" applyBorder="1" applyAlignment="1">
      <alignment horizontal="center"/>
    </xf>
    <xf numFmtId="4" fontId="9" fillId="10" borderId="5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6" fillId="0" borderId="0" xfId="0" applyFont="1"/>
    <xf numFmtId="0" fontId="17" fillId="0" borderId="0" xfId="0" applyFont="1"/>
    <xf numFmtId="0" fontId="3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12" fillId="2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color rgb="FFE06666"/>
      </font>
      <fill>
        <patternFill patternType="none"/>
      </fill>
    </dxf>
    <dxf>
      <font>
        <b/>
        <color rgb="FF009C00"/>
      </font>
      <fill>
        <patternFill patternType="none"/>
      </fill>
    </dxf>
    <dxf>
      <font>
        <color rgb="FF000000"/>
      </font>
      <fill>
        <patternFill patternType="solid">
          <fgColor rgb="FFFF5B5B"/>
          <bgColor rgb="FFFF5B5B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79646"/>
          <bgColor rgb="FFF7964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E06666"/>
      </font>
      <fill>
        <patternFill patternType="none"/>
      </fill>
    </dxf>
    <dxf>
      <font>
        <b/>
        <color rgb="FF009C00"/>
      </font>
      <fill>
        <patternFill patternType="none"/>
      </fill>
    </dxf>
    <dxf>
      <font>
        <color rgb="FF000000"/>
      </font>
      <fill>
        <patternFill patternType="solid">
          <fgColor rgb="FFFF5B5B"/>
          <bgColor rgb="FFFF5B5B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g"/><Relationship Id="rId5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17</xdr:row>
      <xdr:rowOff>66675</xdr:rowOff>
    </xdr:from>
    <xdr:ext cx="1524000" cy="3905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3</xdr:row>
      <xdr:rowOff>28575</xdr:rowOff>
    </xdr:from>
    <xdr:ext cx="4295775" cy="10001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9</xdr:row>
      <xdr:rowOff>0</xdr:rowOff>
    </xdr:from>
    <xdr:ext cx="4295775" cy="88582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14</xdr:row>
      <xdr:rowOff>28575</xdr:rowOff>
    </xdr:from>
    <xdr:ext cx="4295775" cy="666750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18</xdr:row>
      <xdr:rowOff>0</xdr:rowOff>
    </xdr:from>
    <xdr:ext cx="6048375" cy="609600"/>
    <xdr:pic>
      <xdr:nvPicPr>
        <xdr:cNvPr id="5" name="image3.jp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26</xdr:row>
      <xdr:rowOff>123825</xdr:rowOff>
    </xdr:from>
    <xdr:ext cx="1552575" cy="361950"/>
    <xdr:pic>
      <xdr:nvPicPr>
        <xdr:cNvPr id="6" name="image5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26</xdr:row>
      <xdr:rowOff>47625</xdr:rowOff>
    </xdr:from>
    <xdr:ext cx="1609725" cy="457200"/>
    <xdr:pic>
      <xdr:nvPicPr>
        <xdr:cNvPr id="7" name="image2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7moneymanageme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Z1000"/>
  <sheetViews>
    <sheetView tabSelected="1" topLeftCell="A3" workbookViewId="0">
      <selection activeCell="D22" sqref="D22"/>
    </sheetView>
  </sheetViews>
  <sheetFormatPr defaultColWidth="12.6328125" defaultRowHeight="15" customHeight="1" x14ac:dyDescent="0.25"/>
  <cols>
    <col min="1" max="1" width="28.453125" customWidth="1"/>
    <col min="2" max="2" width="3" customWidth="1"/>
    <col min="3" max="3" width="14" customWidth="1"/>
    <col min="4" max="5" width="16.453125" customWidth="1"/>
    <col min="6" max="6" width="20.1796875" customWidth="1"/>
    <col min="7" max="7" width="2.7265625" customWidth="1"/>
    <col min="8" max="8" width="22.81640625" customWidth="1"/>
    <col min="9" max="9" width="13.7265625" customWidth="1"/>
    <col min="10" max="10" width="10.54296875" customWidth="1"/>
    <col min="11" max="26" width="14.54296875" customWidth="1"/>
  </cols>
  <sheetData>
    <row r="1" spans="1:26" ht="27" customHeight="1" x14ac:dyDescent="0.25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 x14ac:dyDescent="0.25">
      <c r="A2" s="69"/>
      <c r="B2" s="67"/>
      <c r="C2" s="67"/>
      <c r="D2" s="67"/>
      <c r="E2" s="67"/>
      <c r="F2" s="67"/>
      <c r="G2" s="67"/>
      <c r="H2" s="67"/>
      <c r="I2" s="67"/>
      <c r="J2" s="6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1"/>
      <c r="K3" s="1" t="s">
        <v>70</v>
      </c>
      <c r="L3" s="1" t="s">
        <v>71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3" t="s">
        <v>1</v>
      </c>
      <c r="B4" s="4" t="s">
        <v>2</v>
      </c>
      <c r="C4" s="5" t="s">
        <v>3</v>
      </c>
      <c r="D4" s="6" t="s">
        <v>4</v>
      </c>
      <c r="E4" s="7" t="s">
        <v>5</v>
      </c>
      <c r="F4" s="8" t="s">
        <v>6</v>
      </c>
      <c r="G4" s="1"/>
      <c r="H4" s="9" t="s">
        <v>7</v>
      </c>
      <c r="I4" s="10" t="s">
        <v>8</v>
      </c>
      <c r="J4" s="11"/>
      <c r="K4" s="1">
        <v>127</v>
      </c>
      <c r="L4" s="1">
        <v>136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/>
      <c r="B5" s="12">
        <v>1</v>
      </c>
      <c r="C5" s="13" t="s">
        <v>27</v>
      </c>
      <c r="D5" s="14">
        <f>algoritmo!C3</f>
        <v>6.9839060197637748</v>
      </c>
      <c r="E5" s="15">
        <f>IF(algoritmo!D3=0,-D5,algoritmo!D3)</f>
        <v>-6.9839060197637748</v>
      </c>
      <c r="F5" s="16">
        <f>algoritmo!F3</f>
        <v>43.016093980236228</v>
      </c>
      <c r="G5" s="1"/>
      <c r="H5" s="17" t="s">
        <v>10</v>
      </c>
      <c r="I5" s="18">
        <v>50</v>
      </c>
      <c r="J5" s="1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2">
        <v>2</v>
      </c>
      <c r="C6" s="13" t="s">
        <v>9</v>
      </c>
      <c r="D6" s="14">
        <f>algoritmo!C4</f>
        <v>8.2374276130547184</v>
      </c>
      <c r="E6" s="15">
        <f>IF(algoritmo!D4=0,-D6,algoritmo!D4)</f>
        <v>10.708655896971132</v>
      </c>
      <c r="F6" s="16">
        <f>algoritmo!F4</f>
        <v>53.724749877207358</v>
      </c>
      <c r="G6" s="1"/>
      <c r="H6" s="19" t="s">
        <v>11</v>
      </c>
      <c r="I6" s="20">
        <v>10</v>
      </c>
      <c r="J6" s="2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/>
      <c r="B7" s="12">
        <v>3</v>
      </c>
      <c r="C7" s="13" t="s">
        <v>9</v>
      </c>
      <c r="D7" s="14">
        <f>algoritmo!C5</f>
        <v>7.1047813162596904</v>
      </c>
      <c r="E7" s="15">
        <f>IF(algoritmo!D5=0,-D7,algoritmo!D5)</f>
        <v>9.2362157111375964</v>
      </c>
      <c r="F7" s="16">
        <f>algoritmo!F5</f>
        <v>62.960965588344955</v>
      </c>
      <c r="G7" s="1"/>
      <c r="H7" s="21" t="s">
        <v>12</v>
      </c>
      <c r="I7" s="20">
        <v>4</v>
      </c>
      <c r="J7" s="22">
        <f>I7/I6</f>
        <v>0.4</v>
      </c>
      <c r="K7" s="1" t="s">
        <v>72</v>
      </c>
      <c r="L7" s="1" t="s">
        <v>73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/>
      <c r="B8" s="12">
        <v>4</v>
      </c>
      <c r="C8" s="13" t="s">
        <v>27</v>
      </c>
      <c r="D8" s="14">
        <f>algoritmo!C6</f>
        <v>4.6688562935420892</v>
      </c>
      <c r="E8" s="15">
        <f>IF(algoritmo!D6=0,-D8,algoritmo!D6)</f>
        <v>-4.6688562935420892</v>
      </c>
      <c r="F8" s="16">
        <f>algoritmo!F6</f>
        <v>58.292109294802863</v>
      </c>
      <c r="G8" s="1"/>
      <c r="H8" s="21" t="s">
        <v>13</v>
      </c>
      <c r="I8" s="23">
        <v>2.2999999999999998</v>
      </c>
      <c r="J8" s="21"/>
      <c r="K8" s="1">
        <f>L4-K4</f>
        <v>9</v>
      </c>
      <c r="L8" s="1">
        <f>K8*120</f>
        <v>1080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12">
        <f t="shared" ref="B9:B18" si="0">IF(  B8&lt;$I$6,  B8+1,  IF(C8="", " ", B8+1)  )</f>
        <v>5</v>
      </c>
      <c r="C9" s="13" t="s">
        <v>9</v>
      </c>
      <c r="D9" s="14">
        <f>algoritmo!C7</f>
        <v>6.8835701763761472</v>
      </c>
      <c r="E9" s="15">
        <f>IF(algoritmo!D7=0,-D9,algoritmo!D7)</f>
        <v>8.9486412292889899</v>
      </c>
      <c r="F9" s="16">
        <f>algoritmo!F7</f>
        <v>67.240750524091851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12">
        <f t="shared" si="0"/>
        <v>6</v>
      </c>
      <c r="C10" s="13" t="s">
        <v>27</v>
      </c>
      <c r="D10" s="14">
        <f>algoritmo!C8</f>
        <v>3.1664422811330346</v>
      </c>
      <c r="E10" s="15">
        <f>IF(algoritmo!D8=0,-D10,algoritmo!D8)</f>
        <v>-3.1664422811330346</v>
      </c>
      <c r="F10" s="16">
        <f>algoritmo!F8</f>
        <v>64.074308242958821</v>
      </c>
      <c r="G10" s="1"/>
      <c r="H10" s="72" t="s">
        <v>14</v>
      </c>
      <c r="I10" s="67"/>
      <c r="J10" s="6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2">
        <f t="shared" si="0"/>
        <v>7</v>
      </c>
      <c r="C11" s="13" t="s">
        <v>27</v>
      </c>
      <c r="D11" s="14">
        <f>algoritmo!C9</f>
        <v>5.6021671127738184</v>
      </c>
      <c r="E11" s="15">
        <f>IF(algoritmo!D9=0,-D11,algoritmo!D9)</f>
        <v>-5.6021671127738184</v>
      </c>
      <c r="F11" s="16">
        <f>algoritmo!F9</f>
        <v>58.472141130185001</v>
      </c>
      <c r="G11" s="1"/>
      <c r="H11" s="24" t="s">
        <v>15</v>
      </c>
      <c r="I11" s="25">
        <f>I5+I5*I12</f>
        <v>71.357125489564794</v>
      </c>
      <c r="J11" s="2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12">
        <f t="shared" si="0"/>
        <v>8</v>
      </c>
      <c r="C12" s="13" t="s">
        <v>27</v>
      </c>
      <c r="D12" s="14">
        <f>algoritmo!C10</f>
        <v>9.9115264302921382</v>
      </c>
      <c r="E12" s="15">
        <f>IF(algoritmo!D10=0,-D12,algoritmo!D10)</f>
        <v>-9.9115264302921382</v>
      </c>
      <c r="F12" s="16">
        <f>algoritmo!F10</f>
        <v>48.560614699892866</v>
      </c>
      <c r="G12" s="1"/>
      <c r="H12" s="19" t="s">
        <v>16</v>
      </c>
      <c r="I12" s="27">
        <f>algoritmo!$N$2-1</f>
        <v>0.42714250979129575</v>
      </c>
      <c r="J12" s="2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12">
        <f t="shared" si="0"/>
        <v>9</v>
      </c>
      <c r="C13" s="13" t="s">
        <v>9</v>
      </c>
      <c r="D13" s="14">
        <f>algoritmo!C11</f>
        <v>17.535777530516864</v>
      </c>
      <c r="E13" s="15">
        <f>IF(algoritmo!D11=0,-D13,algoritmo!D11)</f>
        <v>22.79651078967192</v>
      </c>
      <c r="F13" s="16">
        <f>algoritmo!F11</f>
        <v>71.357125489564794</v>
      </c>
      <c r="G13" s="1"/>
      <c r="H13" s="19" t="s">
        <v>17</v>
      </c>
      <c r="I13" s="28">
        <f>I11-I5</f>
        <v>21.357125489564794</v>
      </c>
      <c r="J13" s="2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2">
        <f t="shared" si="0"/>
        <v>10</v>
      </c>
      <c r="C14" s="13" t="s">
        <v>9</v>
      </c>
      <c r="D14" s="14">
        <f>algoritmo!C12</f>
        <v>9.9670291651922138</v>
      </c>
      <c r="E14" s="15">
        <f>IF(algoritmo!D12=0,-D14,algoritmo!D12)</f>
        <v>12.957137914749877</v>
      </c>
      <c r="F14" s="16">
        <f>algoritmo!F12</f>
        <v>84.314263404314673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2">
        <v>11</v>
      </c>
      <c r="C15" s="13" t="s">
        <v>9</v>
      </c>
      <c r="D15" s="14">
        <f>algoritmo!C13</f>
        <v>7.6413890266473574</v>
      </c>
      <c r="E15" s="15">
        <f>IF(algoritmo!D13=0,-D15,algoritmo!D13)</f>
        <v>9.9338057346415631</v>
      </c>
      <c r="F15" s="16">
        <f>algoritmo!F13</f>
        <v>94.248069138956239</v>
      </c>
      <c r="G15" s="1"/>
      <c r="H15" s="29" t="s">
        <v>18</v>
      </c>
      <c r="I15" s="29" t="s">
        <v>19</v>
      </c>
      <c r="J15" s="29" t="s">
        <v>13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2">
        <v>12</v>
      </c>
      <c r="C16" s="13" t="s">
        <v>9</v>
      </c>
      <c r="D16" s="14">
        <f>algoritmo!C14</f>
        <v>4.3937986903222379</v>
      </c>
      <c r="E16" s="15">
        <f>IF(algoritmo!D14=0,-D16,algoritmo!D14)</f>
        <v>5.7119382974189081</v>
      </c>
      <c r="F16" s="16">
        <f>algoritmo!F14</f>
        <v>99.96000743637515</v>
      </c>
      <c r="G16" s="1"/>
      <c r="H16" s="30" t="s">
        <v>20</v>
      </c>
      <c r="I16" s="31">
        <f>COUNTIF(algoritmo!B2:B102,"=1")</f>
        <v>10</v>
      </c>
      <c r="J16" s="32">
        <f>IF(I17+I16=0,"-",I16/(I17+I16))</f>
        <v>0.66666666666666663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2">
        <v>13</v>
      </c>
      <c r="C17" s="13" t="s">
        <v>9</v>
      </c>
      <c r="D17" s="14">
        <f>algoritmo!C15</f>
        <v>1.4436767125344436</v>
      </c>
      <c r="E17" s="15">
        <f>IF(algoritmo!D15=0,-D17,algoritmo!D15)</f>
        <v>1.8767797262947765</v>
      </c>
      <c r="F17" s="16">
        <f>algoritmo!F15</f>
        <v>101.83678716266992</v>
      </c>
      <c r="G17" s="1"/>
      <c r="H17" s="33" t="s">
        <v>21</v>
      </c>
      <c r="I17" s="34">
        <f>COUNTIF(algoritmo!B2:B102,"=0")</f>
        <v>5</v>
      </c>
      <c r="J17" s="35">
        <f>IF(I17+I16=0,"-",I17/(I17+I16))</f>
        <v>0.33333333333333331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2">
        <v>14</v>
      </c>
      <c r="C18" s="13" t="s">
        <v>9</v>
      </c>
      <c r="D18" s="14">
        <f>algoritmo!C16</f>
        <v>14.224371017975455</v>
      </c>
      <c r="E18" s="15">
        <f>IF(algoritmo!D16=0,-D18,algoritmo!D16)</f>
        <v>18.491682323368089</v>
      </c>
      <c r="F18" s="16">
        <f>algoritmo!F16</f>
        <v>120.32846948603802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2">
        <v>15</v>
      </c>
      <c r="C19" s="13" t="s">
        <v>9</v>
      </c>
      <c r="D19" s="14">
        <f>algoritmo!C17</f>
        <v>10.905351113781173</v>
      </c>
      <c r="E19" s="15">
        <f>IF(algoritmo!D17=0,-D19,algoritmo!D17)</f>
        <v>14.176956447915522</v>
      </c>
      <c r="F19" s="16">
        <f>algoritmo!F17</f>
        <v>134.50542593395355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2"/>
      <c r="C20" s="13"/>
      <c r="D20" s="14"/>
      <c r="E20" s="15"/>
      <c r="F20" s="1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H3:L8" xr:uid="{00000000-0001-0000-0000-000000000000}">
    <filterColumn colId="0" showButton="0"/>
    <filterColumn colId="1" showButton="0"/>
  </autoFilter>
  <mergeCells count="4">
    <mergeCell ref="A1:J1"/>
    <mergeCell ref="A2:J2"/>
    <mergeCell ref="A3:J3"/>
    <mergeCell ref="H10:J10"/>
  </mergeCells>
  <conditionalFormatting sqref="C5:C14">
    <cfRule type="cellIs" dxfId="12" priority="5" operator="equal">
      <formula>"W"</formula>
    </cfRule>
    <cfRule type="cellIs" dxfId="11" priority="6" operator="equal">
      <formula>"L"</formula>
    </cfRule>
  </conditionalFormatting>
  <conditionalFormatting sqref="E5:E14">
    <cfRule type="cellIs" dxfId="10" priority="9" operator="greaterThan">
      <formula>0</formula>
    </cfRule>
    <cfRule type="cellIs" dxfId="9" priority="10" operator="lessThan">
      <formula>0</formula>
    </cfRule>
  </conditionalFormatting>
  <conditionalFormatting sqref="I4">
    <cfRule type="beginsWith" dxfId="8" priority="7" operator="beginsWith" text="P">
      <formula>LEFT((I4),LEN("P"))=("P")</formula>
    </cfRule>
    <cfRule type="beginsWith" dxfId="7" priority="8" operator="beginsWith" text="N">
      <formula>LEFT((I4),LEN("N"))=("N")</formula>
    </cfRule>
  </conditionalFormatting>
  <conditionalFormatting sqref="J16">
    <cfRule type="expression" dxfId="6" priority="11">
      <formula>J7&gt;J16</formula>
    </cfRule>
  </conditionalFormatting>
  <conditionalFormatting sqref="C15:C20">
    <cfRule type="cellIs" dxfId="3" priority="1" operator="equal">
      <formula>"W"</formula>
    </cfRule>
    <cfRule type="cellIs" dxfId="2" priority="2" operator="equal">
      <formula>"L"</formula>
    </cfRule>
  </conditionalFormatting>
  <conditionalFormatting sqref="E15:E20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5">
    <dataValidation type="list" allowBlank="1" showDropDown="1" showErrorMessage="1" sqref="C5:C20" xr:uid="{00000000-0002-0000-0000-000000000000}">
      <formula1>"W,L"</formula1>
    </dataValidation>
    <dataValidation type="decimal" operator="greaterThan" allowBlank="1" showErrorMessage="1" sqref="I8:I9" xr:uid="{00000000-0002-0000-0000-000001000000}">
      <formula1>1</formula1>
    </dataValidation>
    <dataValidation type="custom" allowBlank="1" showErrorMessage="1" sqref="I7" xr:uid="{00000000-0002-0000-0000-000002000000}">
      <formula1>AND(I7&gt;0,I7&lt;I6+1)</formula1>
    </dataValidation>
    <dataValidation type="decimal" allowBlank="1" showErrorMessage="1" sqref="I6" xr:uid="{00000000-0002-0000-0000-000003000000}">
      <formula1>1</formula1>
      <formula2>100</formula2>
    </dataValidation>
    <dataValidation type="list" allowBlank="1" showDropDown="1" showErrorMessage="1" sqref="I4" xr:uid="{00000000-0002-0000-0000-000004000000}">
      <formula1>"Normale,Progressivo"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J1000"/>
  <sheetViews>
    <sheetView workbookViewId="0">
      <selection activeCell="D27" sqref="D27"/>
    </sheetView>
  </sheetViews>
  <sheetFormatPr defaultColWidth="12.6328125" defaultRowHeight="15" customHeight="1" x14ac:dyDescent="0.25"/>
  <cols>
    <col min="1" max="3" width="8.6328125" customWidth="1"/>
    <col min="4" max="5" width="9.1796875" customWidth="1"/>
    <col min="6" max="6" width="14.1796875" customWidth="1"/>
    <col min="7" max="7" width="14.26953125" customWidth="1"/>
    <col min="8" max="9" width="9.1796875" customWidth="1"/>
    <col min="10" max="10" width="17.81640625" customWidth="1"/>
    <col min="11" max="26" width="8.6328125" customWidth="1"/>
  </cols>
  <sheetData>
    <row r="1" spans="4:10" ht="12.75" customHeight="1" x14ac:dyDescent="0.3">
      <c r="D1" s="2"/>
      <c r="E1" s="36"/>
      <c r="F1" s="37"/>
      <c r="G1" s="2"/>
      <c r="H1" s="2"/>
      <c r="I1" s="38"/>
      <c r="J1" s="39"/>
    </row>
    <row r="2" spans="4:10" ht="12.75" customHeight="1" x14ac:dyDescent="0.3">
      <c r="D2" s="2"/>
      <c r="E2" s="36"/>
      <c r="F2" s="37"/>
      <c r="G2" s="2"/>
      <c r="H2" s="2"/>
      <c r="I2" s="38"/>
      <c r="J2" s="39"/>
    </row>
    <row r="3" spans="4:10" ht="12.75" customHeight="1" x14ac:dyDescent="0.3">
      <c r="D3" s="2"/>
      <c r="E3" s="36"/>
      <c r="F3" s="37"/>
      <c r="G3" s="2"/>
      <c r="H3" s="2"/>
      <c r="I3" s="38"/>
      <c r="J3" s="39"/>
    </row>
    <row r="4" spans="4:10" ht="12.75" customHeight="1" x14ac:dyDescent="0.3">
      <c r="D4" s="2" t="s">
        <v>22</v>
      </c>
      <c r="E4" s="36" t="s">
        <v>23</v>
      </c>
      <c r="F4" s="37" t="s">
        <v>24</v>
      </c>
      <c r="G4" s="36" t="s">
        <v>4</v>
      </c>
      <c r="H4" s="36" t="s">
        <v>25</v>
      </c>
      <c r="I4" s="37" t="s">
        <v>5</v>
      </c>
      <c r="J4" s="40" t="s">
        <v>26</v>
      </c>
    </row>
    <row r="5" spans="4:10" ht="12.75" customHeight="1" x14ac:dyDescent="0.3">
      <c r="D5" s="2">
        <v>1</v>
      </c>
      <c r="E5" s="36" t="s">
        <v>27</v>
      </c>
      <c r="F5" s="37">
        <v>72</v>
      </c>
      <c r="G5" s="38">
        <f t="shared" ref="G5:G27" si="0">F5*10%</f>
        <v>7.2</v>
      </c>
      <c r="H5" s="2">
        <v>0.95</v>
      </c>
      <c r="I5" s="38">
        <f t="shared" ref="I5:I27" si="1">H5*G5</f>
        <v>6.84</v>
      </c>
      <c r="J5" s="39">
        <f t="shared" ref="J5:J27" si="2">IF(E5="W",F5+I5,F5-I5)</f>
        <v>65.16</v>
      </c>
    </row>
    <row r="6" spans="4:10" ht="12.75" customHeight="1" x14ac:dyDescent="0.3">
      <c r="D6" s="2">
        <v>2</v>
      </c>
      <c r="E6" s="36" t="s">
        <v>9</v>
      </c>
      <c r="F6" s="37">
        <f t="shared" ref="F6:F27" si="3">J5</f>
        <v>65.16</v>
      </c>
      <c r="G6" s="38">
        <f t="shared" si="0"/>
        <v>6.516</v>
      </c>
      <c r="H6" s="2">
        <f t="shared" ref="H6:H27" si="4">H5</f>
        <v>0.95</v>
      </c>
      <c r="I6" s="38">
        <f t="shared" si="1"/>
        <v>6.1901999999999999</v>
      </c>
      <c r="J6" s="39">
        <f t="shared" si="2"/>
        <v>71.350200000000001</v>
      </c>
    </row>
    <row r="7" spans="4:10" ht="12.75" customHeight="1" x14ac:dyDescent="0.3">
      <c r="D7" s="2">
        <v>3</v>
      </c>
      <c r="E7" s="36" t="s">
        <v>9</v>
      </c>
      <c r="F7" s="37">
        <f t="shared" si="3"/>
        <v>71.350200000000001</v>
      </c>
      <c r="G7" s="38">
        <f t="shared" si="0"/>
        <v>7.1350200000000008</v>
      </c>
      <c r="H7" s="2">
        <f t="shared" si="4"/>
        <v>0.95</v>
      </c>
      <c r="I7" s="38">
        <f t="shared" si="1"/>
        <v>6.7782690000000008</v>
      </c>
      <c r="J7" s="39">
        <f t="shared" si="2"/>
        <v>78.128468999999996</v>
      </c>
    </row>
    <row r="8" spans="4:10" ht="12.75" customHeight="1" x14ac:dyDescent="0.3">
      <c r="D8" s="2">
        <v>4</v>
      </c>
      <c r="E8" s="36" t="s">
        <v>27</v>
      </c>
      <c r="F8" s="37">
        <f t="shared" si="3"/>
        <v>78.128468999999996</v>
      </c>
      <c r="G8" s="38">
        <f t="shared" si="0"/>
        <v>7.8128469000000003</v>
      </c>
      <c r="H8" s="2">
        <f t="shared" si="4"/>
        <v>0.95</v>
      </c>
      <c r="I8" s="38">
        <f t="shared" si="1"/>
        <v>7.4222045549999995</v>
      </c>
      <c r="J8" s="39">
        <f t="shared" si="2"/>
        <v>70.706264445000002</v>
      </c>
    </row>
    <row r="9" spans="4:10" ht="12.75" customHeight="1" x14ac:dyDescent="0.3">
      <c r="D9" s="2">
        <v>5</v>
      </c>
      <c r="E9" s="36" t="s">
        <v>9</v>
      </c>
      <c r="F9" s="37">
        <f t="shared" si="3"/>
        <v>70.706264445000002</v>
      </c>
      <c r="G9" s="38">
        <f t="shared" si="0"/>
        <v>7.0706264445000002</v>
      </c>
      <c r="H9" s="2">
        <f t="shared" si="4"/>
        <v>0.95</v>
      </c>
      <c r="I9" s="38">
        <f t="shared" si="1"/>
        <v>6.7170951222749995</v>
      </c>
      <c r="J9" s="39">
        <f t="shared" si="2"/>
        <v>77.423359567275</v>
      </c>
    </row>
    <row r="10" spans="4:10" ht="12.75" customHeight="1" x14ac:dyDescent="0.3">
      <c r="D10" s="2">
        <v>6</v>
      </c>
      <c r="E10" s="36" t="s">
        <v>27</v>
      </c>
      <c r="F10" s="37">
        <f t="shared" si="3"/>
        <v>77.423359567275</v>
      </c>
      <c r="G10" s="38">
        <f t="shared" si="0"/>
        <v>7.7423359567275005</v>
      </c>
      <c r="H10" s="2">
        <f t="shared" si="4"/>
        <v>0.95</v>
      </c>
      <c r="I10" s="38">
        <f t="shared" si="1"/>
        <v>7.3552191588911251</v>
      </c>
      <c r="J10" s="39">
        <f t="shared" si="2"/>
        <v>70.068140408383869</v>
      </c>
    </row>
    <row r="11" spans="4:10" ht="12.75" customHeight="1" x14ac:dyDescent="0.3">
      <c r="D11" s="2">
        <v>7</v>
      </c>
      <c r="E11" s="36" t="s">
        <v>9</v>
      </c>
      <c r="F11" s="37">
        <f t="shared" si="3"/>
        <v>70.068140408383869</v>
      </c>
      <c r="G11" s="38">
        <f t="shared" si="0"/>
        <v>7.0068140408383872</v>
      </c>
      <c r="H11" s="2">
        <f t="shared" si="4"/>
        <v>0.95</v>
      </c>
      <c r="I11" s="38">
        <f t="shared" si="1"/>
        <v>6.6564733387964674</v>
      </c>
      <c r="J11" s="39">
        <f t="shared" si="2"/>
        <v>76.724613747180342</v>
      </c>
    </row>
    <row r="12" spans="4:10" ht="12.75" customHeight="1" x14ac:dyDescent="0.3">
      <c r="D12" s="2">
        <v>8</v>
      </c>
      <c r="E12" s="36" t="s">
        <v>9</v>
      </c>
      <c r="F12" s="37">
        <f t="shared" si="3"/>
        <v>76.724613747180342</v>
      </c>
      <c r="G12" s="38">
        <f t="shared" si="0"/>
        <v>7.6724613747180346</v>
      </c>
      <c r="H12" s="2">
        <f t="shared" si="4"/>
        <v>0.95</v>
      </c>
      <c r="I12" s="38">
        <f t="shared" si="1"/>
        <v>7.2888383059821322</v>
      </c>
      <c r="J12" s="39">
        <f t="shared" si="2"/>
        <v>84.013452053162467</v>
      </c>
    </row>
    <row r="13" spans="4:10" ht="12.75" customHeight="1" x14ac:dyDescent="0.3">
      <c r="D13" s="2">
        <v>9</v>
      </c>
      <c r="E13" s="36" t="s">
        <v>27</v>
      </c>
      <c r="F13" s="37">
        <f t="shared" si="3"/>
        <v>84.013452053162467</v>
      </c>
      <c r="G13" s="38">
        <f t="shared" si="0"/>
        <v>8.4013452053162467</v>
      </c>
      <c r="H13" s="2">
        <f t="shared" si="4"/>
        <v>0.95</v>
      </c>
      <c r="I13" s="38">
        <f t="shared" si="1"/>
        <v>7.9812779450504339</v>
      </c>
      <c r="J13" s="39">
        <f t="shared" si="2"/>
        <v>76.032174108112031</v>
      </c>
    </row>
    <row r="14" spans="4:10" ht="12.75" customHeight="1" x14ac:dyDescent="0.3">
      <c r="D14" s="2">
        <v>10</v>
      </c>
      <c r="E14" s="36" t="s">
        <v>27</v>
      </c>
      <c r="F14" s="37">
        <f t="shared" si="3"/>
        <v>76.032174108112031</v>
      </c>
      <c r="G14" s="38">
        <f t="shared" si="0"/>
        <v>7.6032174108112036</v>
      </c>
      <c r="H14" s="2">
        <f t="shared" si="4"/>
        <v>0.95</v>
      </c>
      <c r="I14" s="38">
        <f t="shared" si="1"/>
        <v>7.223056540270643</v>
      </c>
      <c r="J14" s="39">
        <f t="shared" si="2"/>
        <v>68.809117567841383</v>
      </c>
    </row>
    <row r="15" spans="4:10" ht="12.75" customHeight="1" x14ac:dyDescent="0.3">
      <c r="D15" s="2">
        <v>11</v>
      </c>
      <c r="E15" s="36" t="s">
        <v>9</v>
      </c>
      <c r="F15" s="37">
        <f t="shared" si="3"/>
        <v>68.809117567841383</v>
      </c>
      <c r="G15" s="38">
        <f t="shared" si="0"/>
        <v>6.8809117567841387</v>
      </c>
      <c r="H15" s="2">
        <f t="shared" si="4"/>
        <v>0.95</v>
      </c>
      <c r="I15" s="38">
        <f t="shared" si="1"/>
        <v>6.5368661689449317</v>
      </c>
      <c r="J15" s="39">
        <f t="shared" si="2"/>
        <v>75.345983736786309</v>
      </c>
    </row>
    <row r="16" spans="4:10" ht="12.75" customHeight="1" x14ac:dyDescent="0.3">
      <c r="D16" s="2">
        <v>12</v>
      </c>
      <c r="E16" s="36" t="s">
        <v>9</v>
      </c>
      <c r="F16" s="37">
        <f t="shared" si="3"/>
        <v>75.345983736786309</v>
      </c>
      <c r="G16" s="38">
        <f t="shared" si="0"/>
        <v>7.5345983736786311</v>
      </c>
      <c r="H16" s="2">
        <f t="shared" si="4"/>
        <v>0.95</v>
      </c>
      <c r="I16" s="38">
        <f t="shared" si="1"/>
        <v>7.1578684549946994</v>
      </c>
      <c r="J16" s="39">
        <f t="shared" si="2"/>
        <v>82.503852191781007</v>
      </c>
    </row>
    <row r="17" spans="4:10" ht="12.75" customHeight="1" x14ac:dyDescent="0.3">
      <c r="D17" s="2">
        <v>13</v>
      </c>
      <c r="E17" s="36" t="s">
        <v>9</v>
      </c>
      <c r="F17" s="37">
        <f t="shared" si="3"/>
        <v>82.503852191781007</v>
      </c>
      <c r="G17" s="38">
        <f t="shared" si="0"/>
        <v>8.2503852191781011</v>
      </c>
      <c r="H17" s="2">
        <f t="shared" si="4"/>
        <v>0.95</v>
      </c>
      <c r="I17" s="38">
        <f t="shared" si="1"/>
        <v>7.8378659582191954</v>
      </c>
      <c r="J17" s="39">
        <f t="shared" si="2"/>
        <v>90.341718150000204</v>
      </c>
    </row>
    <row r="18" spans="4:10" ht="12.75" customHeight="1" x14ac:dyDescent="0.3">
      <c r="D18" s="2">
        <v>14</v>
      </c>
      <c r="E18" s="36" t="s">
        <v>9</v>
      </c>
      <c r="F18" s="37">
        <f t="shared" si="3"/>
        <v>90.341718150000204</v>
      </c>
      <c r="G18" s="38">
        <f t="shared" si="0"/>
        <v>9.0341718150000201</v>
      </c>
      <c r="H18" s="2">
        <f t="shared" si="4"/>
        <v>0.95</v>
      </c>
      <c r="I18" s="38">
        <f t="shared" si="1"/>
        <v>8.5824632242500183</v>
      </c>
      <c r="J18" s="39">
        <f t="shared" si="2"/>
        <v>98.924181374250225</v>
      </c>
    </row>
    <row r="19" spans="4:10" ht="12.75" customHeight="1" x14ac:dyDescent="0.3">
      <c r="D19" s="2">
        <v>15</v>
      </c>
      <c r="E19" s="36" t="s">
        <v>27</v>
      </c>
      <c r="F19" s="37">
        <f t="shared" si="3"/>
        <v>98.924181374250225</v>
      </c>
      <c r="G19" s="38">
        <f t="shared" si="0"/>
        <v>9.8924181374250235</v>
      </c>
      <c r="H19" s="2">
        <f t="shared" si="4"/>
        <v>0.95</v>
      </c>
      <c r="I19" s="38">
        <f t="shared" si="1"/>
        <v>9.3977972305537723</v>
      </c>
      <c r="J19" s="39">
        <f t="shared" si="2"/>
        <v>89.526384143696447</v>
      </c>
    </row>
    <row r="20" spans="4:10" ht="12.75" customHeight="1" x14ac:dyDescent="0.3">
      <c r="D20" s="2">
        <v>16</v>
      </c>
      <c r="E20" s="36" t="s">
        <v>9</v>
      </c>
      <c r="F20" s="37">
        <f t="shared" si="3"/>
        <v>89.526384143696447</v>
      </c>
      <c r="G20" s="38">
        <f t="shared" si="0"/>
        <v>8.9526384143696447</v>
      </c>
      <c r="H20" s="2">
        <f t="shared" si="4"/>
        <v>0.95</v>
      </c>
      <c r="I20" s="38">
        <f t="shared" si="1"/>
        <v>8.5050064936511625</v>
      </c>
      <c r="J20" s="39">
        <f t="shared" si="2"/>
        <v>98.031390637347613</v>
      </c>
    </row>
    <row r="21" spans="4:10" ht="12.75" customHeight="1" x14ac:dyDescent="0.3">
      <c r="D21" s="2">
        <v>17</v>
      </c>
      <c r="E21" s="36" t="s">
        <v>27</v>
      </c>
      <c r="F21" s="37">
        <f t="shared" si="3"/>
        <v>98.031390637347613</v>
      </c>
      <c r="G21" s="38">
        <f t="shared" si="0"/>
        <v>9.8031390637347613</v>
      </c>
      <c r="H21" s="2">
        <f t="shared" si="4"/>
        <v>0.95</v>
      </c>
      <c r="I21" s="38">
        <f t="shared" si="1"/>
        <v>9.3129821105480222</v>
      </c>
      <c r="J21" s="39">
        <f t="shared" si="2"/>
        <v>88.718408526799593</v>
      </c>
    </row>
    <row r="22" spans="4:10" ht="12.75" customHeight="1" x14ac:dyDescent="0.3">
      <c r="D22" s="2">
        <v>18</v>
      </c>
      <c r="E22" s="36" t="s">
        <v>9</v>
      </c>
      <c r="F22" s="37">
        <f t="shared" si="3"/>
        <v>88.718408526799593</v>
      </c>
      <c r="G22" s="38">
        <f t="shared" si="0"/>
        <v>8.8718408526799593</v>
      </c>
      <c r="H22" s="2">
        <f t="shared" si="4"/>
        <v>0.95</v>
      </c>
      <c r="I22" s="38">
        <f t="shared" si="1"/>
        <v>8.4282488100459609</v>
      </c>
      <c r="J22" s="39">
        <f t="shared" si="2"/>
        <v>97.14665733684555</v>
      </c>
    </row>
    <row r="23" spans="4:10" ht="12.75" customHeight="1" x14ac:dyDescent="0.3">
      <c r="D23" s="2">
        <v>19</v>
      </c>
      <c r="E23" s="36" t="s">
        <v>27</v>
      </c>
      <c r="F23" s="37">
        <f t="shared" si="3"/>
        <v>97.14665733684555</v>
      </c>
      <c r="G23" s="38">
        <f t="shared" si="0"/>
        <v>9.714665733684555</v>
      </c>
      <c r="H23" s="2">
        <f t="shared" si="4"/>
        <v>0.95</v>
      </c>
      <c r="I23" s="38">
        <f t="shared" si="1"/>
        <v>9.2289324470003269</v>
      </c>
      <c r="J23" s="39">
        <f t="shared" si="2"/>
        <v>87.917724889845218</v>
      </c>
    </row>
    <row r="24" spans="4:10" ht="12.75" customHeight="1" x14ac:dyDescent="0.3">
      <c r="D24" s="2">
        <v>20</v>
      </c>
      <c r="E24" s="36" t="s">
        <v>9</v>
      </c>
      <c r="F24" s="37">
        <f t="shared" si="3"/>
        <v>87.917724889845218</v>
      </c>
      <c r="G24" s="38">
        <f t="shared" si="0"/>
        <v>8.7917724889845221</v>
      </c>
      <c r="H24" s="2">
        <f t="shared" si="4"/>
        <v>0.95</v>
      </c>
      <c r="I24" s="38">
        <f t="shared" si="1"/>
        <v>8.352183864535295</v>
      </c>
      <c r="J24" s="39">
        <f t="shared" si="2"/>
        <v>96.269908754380509</v>
      </c>
    </row>
    <row r="25" spans="4:10" ht="12.75" customHeight="1" x14ac:dyDescent="0.3">
      <c r="D25" s="2">
        <v>21</v>
      </c>
      <c r="E25" s="36" t="s">
        <v>9</v>
      </c>
      <c r="F25" s="37">
        <f t="shared" si="3"/>
        <v>96.269908754380509</v>
      </c>
      <c r="G25" s="38">
        <f t="shared" si="0"/>
        <v>9.626990875438052</v>
      </c>
      <c r="H25" s="2">
        <f t="shared" si="4"/>
        <v>0.95</v>
      </c>
      <c r="I25" s="38">
        <f t="shared" si="1"/>
        <v>9.1456413316661482</v>
      </c>
      <c r="J25" s="39">
        <f t="shared" si="2"/>
        <v>105.41555008604666</v>
      </c>
    </row>
    <row r="26" spans="4:10" ht="12.75" customHeight="1" x14ac:dyDescent="0.3">
      <c r="D26" s="2">
        <v>22</v>
      </c>
      <c r="E26" s="36" t="s">
        <v>9</v>
      </c>
      <c r="F26" s="37">
        <f t="shared" si="3"/>
        <v>105.41555008604666</v>
      </c>
      <c r="G26" s="38">
        <f t="shared" si="0"/>
        <v>10.541555008604668</v>
      </c>
      <c r="H26" s="2">
        <f t="shared" si="4"/>
        <v>0.95</v>
      </c>
      <c r="I26" s="38">
        <f t="shared" si="1"/>
        <v>10.014477258174434</v>
      </c>
      <c r="J26" s="39">
        <f t="shared" si="2"/>
        <v>115.4300273442211</v>
      </c>
    </row>
    <row r="27" spans="4:10" ht="12.75" customHeight="1" x14ac:dyDescent="0.3">
      <c r="D27" s="2">
        <v>23</v>
      </c>
      <c r="E27" s="36" t="s">
        <v>27</v>
      </c>
      <c r="F27" s="37">
        <f t="shared" si="3"/>
        <v>115.4300273442211</v>
      </c>
      <c r="G27" s="38">
        <f t="shared" si="0"/>
        <v>11.54300273442211</v>
      </c>
      <c r="H27" s="2">
        <f t="shared" si="4"/>
        <v>0.95</v>
      </c>
      <c r="I27" s="38">
        <f t="shared" si="1"/>
        <v>10.965852597701005</v>
      </c>
      <c r="J27" s="39">
        <f t="shared" si="2"/>
        <v>104.4641747465201</v>
      </c>
    </row>
    <row r="28" spans="4:10" ht="12.75" customHeight="1" x14ac:dyDescent="0.3">
      <c r="D28" s="2"/>
      <c r="E28" s="36"/>
      <c r="F28" s="37"/>
      <c r="G28" s="2"/>
      <c r="H28" s="2"/>
      <c r="I28" s="38"/>
      <c r="J28" s="39"/>
    </row>
    <row r="29" spans="4:10" ht="12.75" customHeight="1" x14ac:dyDescent="0.3">
      <c r="D29" s="2"/>
      <c r="E29" s="36"/>
      <c r="F29" s="37"/>
      <c r="G29" s="2"/>
      <c r="H29" s="2"/>
      <c r="I29" s="38"/>
      <c r="J29" s="39"/>
    </row>
    <row r="30" spans="4:10" ht="12.75" customHeight="1" x14ac:dyDescent="0.3">
      <c r="D30" s="2"/>
      <c r="E30" s="36"/>
      <c r="F30" s="37"/>
      <c r="G30" s="2"/>
      <c r="H30" s="2"/>
      <c r="I30" s="38"/>
      <c r="J30" s="39"/>
    </row>
    <row r="31" spans="4:10" ht="12.75" customHeight="1" x14ac:dyDescent="0.3">
      <c r="D31" s="2"/>
      <c r="E31" s="36"/>
      <c r="F31" s="37"/>
      <c r="G31" s="2"/>
      <c r="H31" s="2"/>
      <c r="I31" s="38"/>
      <c r="J31" s="39"/>
    </row>
    <row r="32" spans="4:10" ht="12.75" customHeight="1" x14ac:dyDescent="0.3">
      <c r="D32" s="2"/>
      <c r="E32" s="36"/>
      <c r="F32" s="37"/>
      <c r="G32" s="2"/>
      <c r="H32" s="2"/>
      <c r="I32" s="38"/>
      <c r="J32" s="39"/>
    </row>
    <row r="33" spans="4:10" ht="12.75" customHeight="1" x14ac:dyDescent="0.3">
      <c r="D33" s="2"/>
      <c r="E33" s="36"/>
      <c r="F33" s="37"/>
      <c r="G33" s="2"/>
      <c r="H33" s="2"/>
      <c r="I33" s="38"/>
      <c r="J33" s="39"/>
    </row>
    <row r="34" spans="4:10" ht="12.75" customHeight="1" x14ac:dyDescent="0.3">
      <c r="D34" s="2"/>
      <c r="E34" s="36"/>
      <c r="F34" s="37"/>
      <c r="G34" s="2"/>
      <c r="H34" s="2"/>
      <c r="I34" s="38"/>
      <c r="J34" s="39"/>
    </row>
    <row r="35" spans="4:10" ht="12.75" customHeight="1" x14ac:dyDescent="0.3">
      <c r="D35" s="2"/>
      <c r="E35" s="36"/>
      <c r="F35" s="37"/>
      <c r="G35" s="2"/>
      <c r="H35" s="2"/>
      <c r="I35" s="38"/>
      <c r="J35" s="39"/>
    </row>
    <row r="36" spans="4:10" ht="12.75" customHeight="1" x14ac:dyDescent="0.3">
      <c r="D36" s="2"/>
      <c r="E36" s="36"/>
      <c r="F36" s="37"/>
      <c r="G36" s="2"/>
      <c r="H36" s="2"/>
      <c r="I36" s="38"/>
      <c r="J36" s="39"/>
    </row>
    <row r="37" spans="4:10" ht="12.75" customHeight="1" x14ac:dyDescent="0.3">
      <c r="D37" s="2"/>
      <c r="E37" s="36"/>
      <c r="F37" s="37"/>
      <c r="G37" s="2"/>
      <c r="H37" s="2"/>
      <c r="I37" s="38"/>
      <c r="J37" s="39"/>
    </row>
    <row r="38" spans="4:10" ht="12.75" customHeight="1" x14ac:dyDescent="0.3">
      <c r="D38" s="2"/>
      <c r="E38" s="36"/>
      <c r="F38" s="37"/>
      <c r="G38" s="2"/>
      <c r="H38" s="2"/>
      <c r="I38" s="38"/>
      <c r="J38" s="39"/>
    </row>
    <row r="39" spans="4:10" ht="12.75" customHeight="1" x14ac:dyDescent="0.3">
      <c r="D39" s="2"/>
      <c r="E39" s="36"/>
      <c r="F39" s="37"/>
      <c r="G39" s="2"/>
      <c r="H39" s="2"/>
      <c r="I39" s="38"/>
      <c r="J39" s="39"/>
    </row>
    <row r="40" spans="4:10" ht="12.75" customHeight="1" x14ac:dyDescent="0.3">
      <c r="D40" s="2"/>
      <c r="E40" s="36"/>
      <c r="F40" s="37"/>
      <c r="G40" s="2"/>
      <c r="H40" s="2"/>
      <c r="I40" s="38"/>
      <c r="J40" s="39"/>
    </row>
    <row r="41" spans="4:10" ht="12.75" customHeight="1" x14ac:dyDescent="0.3">
      <c r="D41" s="2"/>
      <c r="E41" s="36"/>
      <c r="F41" s="37"/>
      <c r="G41" s="2"/>
      <c r="H41" s="2"/>
      <c r="I41" s="38"/>
      <c r="J41" s="39"/>
    </row>
    <row r="42" spans="4:10" ht="12.75" customHeight="1" x14ac:dyDescent="0.3">
      <c r="D42" s="2"/>
      <c r="E42" s="36"/>
      <c r="F42" s="37"/>
      <c r="G42" s="2"/>
      <c r="H42" s="2"/>
      <c r="I42" s="38"/>
      <c r="J42" s="39"/>
    </row>
    <row r="43" spans="4:10" ht="12.75" customHeight="1" x14ac:dyDescent="0.3">
      <c r="D43" s="2"/>
      <c r="E43" s="36"/>
      <c r="F43" s="37"/>
      <c r="G43" s="2"/>
      <c r="H43" s="2"/>
      <c r="I43" s="38"/>
      <c r="J43" s="39"/>
    </row>
    <row r="44" spans="4:10" ht="12.75" customHeight="1" x14ac:dyDescent="0.3">
      <c r="D44" s="2"/>
      <c r="E44" s="36"/>
      <c r="F44" s="37"/>
      <c r="G44" s="2"/>
      <c r="H44" s="2"/>
      <c r="I44" s="38"/>
      <c r="J44" s="39"/>
    </row>
    <row r="45" spans="4:10" ht="12.75" customHeight="1" x14ac:dyDescent="0.3">
      <c r="D45" s="2"/>
      <c r="E45" s="36"/>
      <c r="F45" s="37"/>
      <c r="G45" s="2"/>
      <c r="H45" s="2"/>
      <c r="I45" s="38"/>
      <c r="J45" s="39"/>
    </row>
    <row r="46" spans="4:10" ht="12.75" customHeight="1" x14ac:dyDescent="0.3">
      <c r="D46" s="2"/>
      <c r="E46" s="36"/>
      <c r="F46" s="37"/>
      <c r="G46" s="2"/>
      <c r="H46" s="2"/>
      <c r="I46" s="38"/>
      <c r="J46" s="39"/>
    </row>
    <row r="47" spans="4:10" ht="12.75" customHeight="1" x14ac:dyDescent="0.3">
      <c r="D47" s="2"/>
      <c r="E47" s="36"/>
      <c r="F47" s="37"/>
      <c r="G47" s="2"/>
      <c r="H47" s="2"/>
      <c r="I47" s="38"/>
      <c r="J47" s="39"/>
    </row>
    <row r="48" spans="4:10" ht="12.75" customHeight="1" x14ac:dyDescent="0.3">
      <c r="D48" s="2"/>
      <c r="E48" s="36"/>
      <c r="F48" s="37"/>
      <c r="G48" s="2"/>
      <c r="H48" s="2"/>
      <c r="I48" s="38"/>
      <c r="J48" s="39"/>
    </row>
    <row r="49" spans="4:10" ht="12.75" customHeight="1" x14ac:dyDescent="0.3">
      <c r="D49" s="2"/>
      <c r="E49" s="36"/>
      <c r="F49" s="37"/>
      <c r="G49" s="2"/>
      <c r="H49" s="2"/>
      <c r="I49" s="38"/>
      <c r="J49" s="39"/>
    </row>
    <row r="50" spans="4:10" ht="12.75" customHeight="1" x14ac:dyDescent="0.3">
      <c r="D50" s="2"/>
      <c r="E50" s="36"/>
      <c r="F50" s="37"/>
      <c r="G50" s="2"/>
      <c r="H50" s="2"/>
      <c r="I50" s="38"/>
      <c r="J50" s="39"/>
    </row>
    <row r="51" spans="4:10" ht="12.75" customHeight="1" x14ac:dyDescent="0.3">
      <c r="D51" s="2"/>
      <c r="E51" s="36"/>
      <c r="F51" s="37"/>
      <c r="G51" s="2"/>
      <c r="H51" s="2"/>
      <c r="I51" s="38"/>
      <c r="J51" s="39"/>
    </row>
    <row r="52" spans="4:10" ht="12.75" customHeight="1" x14ac:dyDescent="0.3">
      <c r="D52" s="2"/>
      <c r="E52" s="36"/>
      <c r="F52" s="37"/>
      <c r="G52" s="2"/>
      <c r="H52" s="2"/>
      <c r="I52" s="38"/>
      <c r="J52" s="39"/>
    </row>
    <row r="53" spans="4:10" ht="12.75" customHeight="1" x14ac:dyDescent="0.3">
      <c r="D53" s="2"/>
      <c r="E53" s="36"/>
      <c r="F53" s="37"/>
      <c r="G53" s="2"/>
      <c r="H53" s="2"/>
      <c r="I53" s="38"/>
      <c r="J53" s="39"/>
    </row>
    <row r="54" spans="4:10" ht="12.75" customHeight="1" x14ac:dyDescent="0.3">
      <c r="D54" s="2"/>
      <c r="E54" s="36"/>
      <c r="F54" s="37"/>
      <c r="G54" s="2"/>
      <c r="H54" s="2"/>
      <c r="I54" s="38"/>
      <c r="J54" s="39"/>
    </row>
    <row r="55" spans="4:10" ht="12.75" customHeight="1" x14ac:dyDescent="0.3">
      <c r="D55" s="2"/>
      <c r="E55" s="36"/>
      <c r="F55" s="37"/>
      <c r="G55" s="2"/>
      <c r="H55" s="2"/>
      <c r="I55" s="38"/>
      <c r="J55" s="39"/>
    </row>
    <row r="56" spans="4:10" ht="12.75" customHeight="1" x14ac:dyDescent="0.3">
      <c r="D56" s="2"/>
      <c r="E56" s="36"/>
      <c r="F56" s="37"/>
      <c r="G56" s="2"/>
      <c r="H56" s="2"/>
      <c r="I56" s="38"/>
      <c r="J56" s="39"/>
    </row>
    <row r="57" spans="4:10" ht="12.75" customHeight="1" x14ac:dyDescent="0.3">
      <c r="D57" s="2"/>
      <c r="E57" s="36"/>
      <c r="F57" s="37"/>
      <c r="G57" s="2"/>
      <c r="H57" s="2"/>
      <c r="I57" s="38"/>
      <c r="J57" s="39"/>
    </row>
    <row r="58" spans="4:10" ht="12.75" customHeight="1" x14ac:dyDescent="0.3">
      <c r="D58" s="2"/>
      <c r="E58" s="36"/>
      <c r="F58" s="37"/>
      <c r="G58" s="2"/>
      <c r="H58" s="2"/>
      <c r="I58" s="38"/>
      <c r="J58" s="39"/>
    </row>
    <row r="59" spans="4:10" ht="12.75" customHeight="1" x14ac:dyDescent="0.3">
      <c r="D59" s="2"/>
      <c r="E59" s="36"/>
      <c r="F59" s="37"/>
      <c r="G59" s="2"/>
      <c r="H59" s="2"/>
      <c r="I59" s="38"/>
      <c r="J59" s="39"/>
    </row>
    <row r="60" spans="4:10" ht="12.75" customHeight="1" x14ac:dyDescent="0.3">
      <c r="D60" s="2"/>
      <c r="E60" s="36"/>
      <c r="F60" s="37"/>
      <c r="G60" s="2"/>
      <c r="H60" s="2"/>
      <c r="I60" s="38"/>
      <c r="J60" s="39"/>
    </row>
    <row r="61" spans="4:10" ht="12.75" customHeight="1" x14ac:dyDescent="0.3">
      <c r="D61" s="2"/>
      <c r="E61" s="36"/>
      <c r="F61" s="37"/>
      <c r="G61" s="2"/>
      <c r="H61" s="2"/>
      <c r="I61" s="38"/>
      <c r="J61" s="39"/>
    </row>
    <row r="62" spans="4:10" ht="12.75" customHeight="1" x14ac:dyDescent="0.3">
      <c r="D62" s="2"/>
      <c r="E62" s="36"/>
      <c r="F62" s="37"/>
      <c r="G62" s="2"/>
      <c r="H62" s="2"/>
      <c r="I62" s="38"/>
      <c r="J62" s="39"/>
    </row>
    <row r="63" spans="4:10" ht="12.75" customHeight="1" x14ac:dyDescent="0.3">
      <c r="D63" s="2"/>
      <c r="E63" s="36"/>
      <c r="F63" s="37"/>
      <c r="G63" s="2"/>
      <c r="H63" s="2"/>
      <c r="I63" s="38"/>
      <c r="J63" s="39"/>
    </row>
    <row r="64" spans="4:10" ht="12.75" customHeight="1" x14ac:dyDescent="0.3">
      <c r="D64" s="2"/>
      <c r="E64" s="36"/>
      <c r="F64" s="37"/>
      <c r="G64" s="2"/>
      <c r="H64" s="2"/>
      <c r="I64" s="38"/>
      <c r="J64" s="39"/>
    </row>
    <row r="65" spans="4:10" ht="12.75" customHeight="1" x14ac:dyDescent="0.3">
      <c r="D65" s="2"/>
      <c r="E65" s="36"/>
      <c r="F65" s="37"/>
      <c r="G65" s="2"/>
      <c r="H65" s="2"/>
      <c r="I65" s="38"/>
      <c r="J65" s="39"/>
    </row>
    <row r="66" spans="4:10" ht="12.75" customHeight="1" x14ac:dyDescent="0.3">
      <c r="D66" s="2"/>
      <c r="E66" s="36"/>
      <c r="F66" s="37"/>
      <c r="G66" s="2"/>
      <c r="H66" s="2"/>
      <c r="I66" s="38"/>
      <c r="J66" s="39"/>
    </row>
    <row r="67" spans="4:10" ht="12.75" customHeight="1" x14ac:dyDescent="0.3">
      <c r="D67" s="2"/>
      <c r="E67" s="36"/>
      <c r="F67" s="37"/>
      <c r="G67" s="2"/>
      <c r="H67" s="2"/>
      <c r="I67" s="38"/>
      <c r="J67" s="39"/>
    </row>
    <row r="68" spans="4:10" ht="12.75" customHeight="1" x14ac:dyDescent="0.3">
      <c r="D68" s="2"/>
      <c r="E68" s="36"/>
      <c r="F68" s="37"/>
      <c r="G68" s="2"/>
      <c r="H68" s="2"/>
      <c r="I68" s="38"/>
      <c r="J68" s="39"/>
    </row>
    <row r="69" spans="4:10" ht="12.75" customHeight="1" x14ac:dyDescent="0.3">
      <c r="D69" s="2"/>
      <c r="E69" s="36"/>
      <c r="F69" s="37"/>
      <c r="G69" s="2"/>
      <c r="H69" s="2"/>
      <c r="I69" s="38"/>
      <c r="J69" s="39"/>
    </row>
    <row r="70" spans="4:10" ht="12.75" customHeight="1" x14ac:dyDescent="0.3">
      <c r="D70" s="2"/>
      <c r="E70" s="36"/>
      <c r="F70" s="37"/>
      <c r="G70" s="2"/>
      <c r="H70" s="2"/>
      <c r="I70" s="38"/>
      <c r="J70" s="39"/>
    </row>
    <row r="71" spans="4:10" ht="12.75" customHeight="1" x14ac:dyDescent="0.3">
      <c r="D71" s="2"/>
      <c r="E71" s="36"/>
      <c r="F71" s="37"/>
      <c r="G71" s="2"/>
      <c r="H71" s="2"/>
      <c r="I71" s="38"/>
      <c r="J71" s="39"/>
    </row>
    <row r="72" spans="4:10" ht="12.75" customHeight="1" x14ac:dyDescent="0.3">
      <c r="D72" s="2"/>
      <c r="E72" s="36"/>
      <c r="F72" s="37"/>
      <c r="G72" s="2"/>
      <c r="H72" s="2"/>
      <c r="I72" s="38"/>
      <c r="J72" s="39"/>
    </row>
    <row r="73" spans="4:10" ht="12.75" customHeight="1" x14ac:dyDescent="0.3">
      <c r="D73" s="2"/>
      <c r="E73" s="36"/>
      <c r="F73" s="37"/>
      <c r="G73" s="2"/>
      <c r="H73" s="2"/>
      <c r="I73" s="38"/>
      <c r="J73" s="39"/>
    </row>
    <row r="74" spans="4:10" ht="12.75" customHeight="1" x14ac:dyDescent="0.3">
      <c r="D74" s="2"/>
      <c r="E74" s="36"/>
      <c r="F74" s="37"/>
      <c r="G74" s="2"/>
      <c r="H74" s="2"/>
      <c r="I74" s="38"/>
      <c r="J74" s="39"/>
    </row>
    <row r="75" spans="4:10" ht="12.75" customHeight="1" x14ac:dyDescent="0.3">
      <c r="D75" s="2"/>
      <c r="E75" s="36"/>
      <c r="F75" s="37"/>
      <c r="G75" s="2"/>
      <c r="H75" s="2"/>
      <c r="I75" s="38"/>
      <c r="J75" s="39"/>
    </row>
    <row r="76" spans="4:10" ht="12.75" customHeight="1" x14ac:dyDescent="0.3">
      <c r="D76" s="2"/>
      <c r="E76" s="36"/>
      <c r="F76" s="37"/>
      <c r="G76" s="2"/>
      <c r="H76" s="2"/>
      <c r="I76" s="38"/>
      <c r="J76" s="39"/>
    </row>
    <row r="77" spans="4:10" ht="12.75" customHeight="1" x14ac:dyDescent="0.3">
      <c r="D77" s="2"/>
      <c r="E77" s="36"/>
      <c r="F77" s="37"/>
      <c r="G77" s="2"/>
      <c r="H77" s="2"/>
      <c r="I77" s="38"/>
      <c r="J77" s="39"/>
    </row>
    <row r="78" spans="4:10" ht="12.75" customHeight="1" x14ac:dyDescent="0.3">
      <c r="D78" s="2"/>
      <c r="E78" s="36"/>
      <c r="F78" s="37"/>
      <c r="G78" s="2"/>
      <c r="H78" s="2"/>
      <c r="I78" s="38"/>
      <c r="J78" s="39"/>
    </row>
    <row r="79" spans="4:10" ht="12.75" customHeight="1" x14ac:dyDescent="0.3">
      <c r="D79" s="2"/>
      <c r="E79" s="36"/>
      <c r="F79" s="37"/>
      <c r="G79" s="2"/>
      <c r="H79" s="2"/>
      <c r="I79" s="38"/>
      <c r="J79" s="39"/>
    </row>
    <row r="80" spans="4:10" ht="12.75" customHeight="1" x14ac:dyDescent="0.3">
      <c r="D80" s="2"/>
      <c r="E80" s="36"/>
      <c r="F80" s="37"/>
      <c r="G80" s="2"/>
      <c r="H80" s="2"/>
      <c r="I80" s="38"/>
      <c r="J80" s="39"/>
    </row>
    <row r="81" spans="4:10" ht="12.75" customHeight="1" x14ac:dyDescent="0.3">
      <c r="D81" s="2"/>
      <c r="E81" s="36"/>
      <c r="F81" s="37"/>
      <c r="G81" s="2"/>
      <c r="H81" s="2"/>
      <c r="I81" s="38"/>
      <c r="J81" s="39"/>
    </row>
    <row r="82" spans="4:10" ht="12.75" customHeight="1" x14ac:dyDescent="0.3">
      <c r="D82" s="2"/>
      <c r="E82" s="36"/>
      <c r="F82" s="37"/>
      <c r="G82" s="2"/>
      <c r="H82" s="2"/>
      <c r="I82" s="38"/>
      <c r="J82" s="39"/>
    </row>
    <row r="83" spans="4:10" ht="12.75" customHeight="1" x14ac:dyDescent="0.3">
      <c r="D83" s="2"/>
      <c r="E83" s="36"/>
      <c r="F83" s="37"/>
      <c r="G83" s="2"/>
      <c r="H83" s="2"/>
      <c r="I83" s="38"/>
      <c r="J83" s="39"/>
    </row>
    <row r="84" spans="4:10" ht="12.75" customHeight="1" x14ac:dyDescent="0.3">
      <c r="D84" s="2"/>
      <c r="E84" s="36"/>
      <c r="F84" s="37"/>
      <c r="G84" s="2"/>
      <c r="H84" s="2"/>
      <c r="I84" s="38"/>
      <c r="J84" s="39"/>
    </row>
    <row r="85" spans="4:10" ht="12.75" customHeight="1" x14ac:dyDescent="0.3">
      <c r="D85" s="2"/>
      <c r="E85" s="36"/>
      <c r="F85" s="37"/>
      <c r="G85" s="2"/>
      <c r="H85" s="2"/>
      <c r="I85" s="38"/>
      <c r="J85" s="39"/>
    </row>
    <row r="86" spans="4:10" ht="12.75" customHeight="1" x14ac:dyDescent="0.3">
      <c r="D86" s="2"/>
      <c r="E86" s="36"/>
      <c r="F86" s="37"/>
      <c r="G86" s="2"/>
      <c r="H86" s="2"/>
      <c r="I86" s="38"/>
      <c r="J86" s="39"/>
    </row>
    <row r="87" spans="4:10" ht="12.75" customHeight="1" x14ac:dyDescent="0.3">
      <c r="D87" s="2"/>
      <c r="E87" s="36"/>
      <c r="F87" s="37"/>
      <c r="G87" s="2"/>
      <c r="H87" s="2"/>
      <c r="I87" s="38"/>
      <c r="J87" s="39"/>
    </row>
    <row r="88" spans="4:10" ht="12.75" customHeight="1" x14ac:dyDescent="0.3">
      <c r="D88" s="2"/>
      <c r="E88" s="36"/>
      <c r="F88" s="37"/>
      <c r="G88" s="2"/>
      <c r="H88" s="2"/>
      <c r="I88" s="38"/>
      <c r="J88" s="39"/>
    </row>
    <row r="89" spans="4:10" ht="12.75" customHeight="1" x14ac:dyDescent="0.3">
      <c r="D89" s="2"/>
      <c r="E89" s="36"/>
      <c r="F89" s="37"/>
      <c r="G89" s="2"/>
      <c r="H89" s="2"/>
      <c r="I89" s="38"/>
      <c r="J89" s="39"/>
    </row>
    <row r="90" spans="4:10" ht="12.75" customHeight="1" x14ac:dyDescent="0.3">
      <c r="D90" s="2"/>
      <c r="E90" s="36"/>
      <c r="F90" s="37"/>
      <c r="G90" s="2"/>
      <c r="H90" s="2"/>
      <c r="I90" s="38"/>
      <c r="J90" s="39"/>
    </row>
    <row r="91" spans="4:10" ht="12.75" customHeight="1" x14ac:dyDescent="0.3">
      <c r="D91" s="2"/>
      <c r="E91" s="36"/>
      <c r="F91" s="37"/>
      <c r="G91" s="2"/>
      <c r="H91" s="2"/>
      <c r="I91" s="38"/>
      <c r="J91" s="39"/>
    </row>
    <row r="92" spans="4:10" ht="12.75" customHeight="1" x14ac:dyDescent="0.3">
      <c r="D92" s="2"/>
      <c r="E92" s="36"/>
      <c r="F92" s="37"/>
      <c r="G92" s="2"/>
      <c r="H92" s="2"/>
      <c r="I92" s="38"/>
      <c r="J92" s="39"/>
    </row>
    <row r="93" spans="4:10" ht="12.75" customHeight="1" x14ac:dyDescent="0.3">
      <c r="D93" s="2"/>
      <c r="E93" s="36"/>
      <c r="F93" s="37"/>
      <c r="G93" s="2"/>
      <c r="H93" s="2"/>
      <c r="I93" s="38"/>
      <c r="J93" s="39"/>
    </row>
    <row r="94" spans="4:10" ht="12.75" customHeight="1" x14ac:dyDescent="0.3">
      <c r="D94" s="2"/>
      <c r="E94" s="36"/>
      <c r="F94" s="37"/>
      <c r="G94" s="2"/>
      <c r="H94" s="2"/>
      <c r="I94" s="38"/>
      <c r="J94" s="39"/>
    </row>
    <row r="95" spans="4:10" ht="12.75" customHeight="1" x14ac:dyDescent="0.3">
      <c r="D95" s="2"/>
      <c r="E95" s="36"/>
      <c r="F95" s="37"/>
      <c r="G95" s="2"/>
      <c r="H95" s="2"/>
      <c r="I95" s="38"/>
      <c r="J95" s="39"/>
    </row>
    <row r="96" spans="4:10" ht="12.75" customHeight="1" x14ac:dyDescent="0.3">
      <c r="D96" s="2"/>
      <c r="E96" s="36"/>
      <c r="F96" s="37"/>
      <c r="G96" s="2"/>
      <c r="H96" s="2"/>
      <c r="I96" s="38"/>
      <c r="J96" s="39"/>
    </row>
    <row r="97" spans="4:10" ht="12.75" customHeight="1" x14ac:dyDescent="0.3">
      <c r="D97" s="2"/>
      <c r="E97" s="36"/>
      <c r="F97" s="37"/>
      <c r="G97" s="2"/>
      <c r="H97" s="2"/>
      <c r="I97" s="38"/>
      <c r="J97" s="39"/>
    </row>
    <row r="98" spans="4:10" ht="12.75" customHeight="1" x14ac:dyDescent="0.3">
      <c r="D98" s="2"/>
      <c r="E98" s="36"/>
      <c r="F98" s="37"/>
      <c r="G98" s="2"/>
      <c r="H98" s="2"/>
      <c r="I98" s="38"/>
      <c r="J98" s="39"/>
    </row>
    <row r="99" spans="4:10" ht="12.75" customHeight="1" x14ac:dyDescent="0.3">
      <c r="D99" s="2"/>
      <c r="E99" s="36"/>
      <c r="F99" s="37"/>
      <c r="G99" s="2"/>
      <c r="H99" s="2"/>
      <c r="I99" s="38"/>
      <c r="J99" s="39"/>
    </row>
    <row r="100" spans="4:10" ht="12.75" customHeight="1" x14ac:dyDescent="0.3">
      <c r="D100" s="2"/>
      <c r="E100" s="36"/>
      <c r="F100" s="37"/>
      <c r="G100" s="2"/>
      <c r="H100" s="2"/>
      <c r="I100" s="38"/>
      <c r="J100" s="39"/>
    </row>
    <row r="101" spans="4:10" ht="12.75" customHeight="1" x14ac:dyDescent="0.3">
      <c r="D101" s="2"/>
      <c r="E101" s="36"/>
      <c r="F101" s="37"/>
      <c r="G101" s="2"/>
      <c r="H101" s="2"/>
      <c r="I101" s="38"/>
      <c r="J101" s="39"/>
    </row>
    <row r="102" spans="4:10" ht="12.75" customHeight="1" x14ac:dyDescent="0.3">
      <c r="D102" s="2"/>
      <c r="E102" s="36"/>
      <c r="F102" s="37"/>
      <c r="G102" s="2"/>
      <c r="H102" s="2"/>
      <c r="I102" s="38"/>
      <c r="J102" s="39"/>
    </row>
    <row r="103" spans="4:10" ht="12.75" customHeight="1" x14ac:dyDescent="0.3">
      <c r="D103" s="2"/>
      <c r="E103" s="36"/>
      <c r="F103" s="37"/>
      <c r="G103" s="2"/>
      <c r="H103" s="2"/>
      <c r="I103" s="38"/>
      <c r="J103" s="39"/>
    </row>
    <row r="104" spans="4:10" ht="12.75" customHeight="1" x14ac:dyDescent="0.3">
      <c r="D104" s="2"/>
      <c r="E104" s="36"/>
      <c r="F104" s="37"/>
      <c r="G104" s="2"/>
      <c r="H104" s="2"/>
      <c r="I104" s="38"/>
      <c r="J104" s="39"/>
    </row>
    <row r="105" spans="4:10" ht="12.75" customHeight="1" x14ac:dyDescent="0.3">
      <c r="D105" s="2"/>
      <c r="E105" s="36"/>
      <c r="F105" s="37"/>
      <c r="G105" s="2"/>
      <c r="H105" s="2"/>
      <c r="I105" s="38"/>
      <c r="J105" s="39"/>
    </row>
    <row r="106" spans="4:10" ht="12.75" customHeight="1" x14ac:dyDescent="0.3">
      <c r="D106" s="2"/>
      <c r="E106" s="36"/>
      <c r="F106" s="37"/>
      <c r="G106" s="2"/>
      <c r="H106" s="2"/>
      <c r="I106" s="38"/>
      <c r="J106" s="39"/>
    </row>
    <row r="107" spans="4:10" ht="12.75" customHeight="1" x14ac:dyDescent="0.3">
      <c r="D107" s="2"/>
      <c r="E107" s="36"/>
      <c r="F107" s="37"/>
      <c r="G107" s="2"/>
      <c r="H107" s="2"/>
      <c r="I107" s="38"/>
      <c r="J107" s="39"/>
    </row>
    <row r="108" spans="4:10" ht="12.75" customHeight="1" x14ac:dyDescent="0.3">
      <c r="D108" s="2"/>
      <c r="E108" s="36"/>
      <c r="F108" s="37"/>
      <c r="G108" s="2"/>
      <c r="H108" s="2"/>
      <c r="I108" s="38"/>
      <c r="J108" s="39"/>
    </row>
    <row r="109" spans="4:10" ht="12.75" customHeight="1" x14ac:dyDescent="0.3">
      <c r="D109" s="2"/>
      <c r="E109" s="36"/>
      <c r="F109" s="37"/>
      <c r="G109" s="2"/>
      <c r="H109" s="2"/>
      <c r="I109" s="38"/>
      <c r="J109" s="39"/>
    </row>
    <row r="110" spans="4:10" ht="12.75" customHeight="1" x14ac:dyDescent="0.3">
      <c r="D110" s="2"/>
      <c r="E110" s="36"/>
      <c r="F110" s="37"/>
      <c r="G110" s="2"/>
      <c r="H110" s="2"/>
      <c r="I110" s="38"/>
      <c r="J110" s="39"/>
    </row>
    <row r="111" spans="4:10" ht="12.75" customHeight="1" x14ac:dyDescent="0.3">
      <c r="D111" s="2"/>
      <c r="E111" s="36"/>
      <c r="F111" s="37"/>
      <c r="G111" s="2"/>
      <c r="H111" s="2"/>
      <c r="I111" s="38"/>
      <c r="J111" s="39"/>
    </row>
    <row r="112" spans="4:10" ht="12.75" customHeight="1" x14ac:dyDescent="0.3">
      <c r="D112" s="2"/>
      <c r="E112" s="36"/>
      <c r="F112" s="37"/>
      <c r="G112" s="2"/>
      <c r="H112" s="2"/>
      <c r="I112" s="38"/>
      <c r="J112" s="39"/>
    </row>
    <row r="113" spans="4:10" ht="12.75" customHeight="1" x14ac:dyDescent="0.3">
      <c r="D113" s="2"/>
      <c r="E113" s="36"/>
      <c r="F113" s="37"/>
      <c r="G113" s="2"/>
      <c r="H113" s="2"/>
      <c r="I113" s="38"/>
      <c r="J113" s="39"/>
    </row>
    <row r="114" spans="4:10" ht="12.75" customHeight="1" x14ac:dyDescent="0.3">
      <c r="D114" s="2"/>
      <c r="E114" s="36"/>
      <c r="F114" s="37"/>
      <c r="G114" s="2"/>
      <c r="H114" s="2"/>
      <c r="I114" s="38"/>
      <c r="J114" s="39"/>
    </row>
    <row r="115" spans="4:10" ht="12.75" customHeight="1" x14ac:dyDescent="0.3">
      <c r="D115" s="2"/>
      <c r="E115" s="36"/>
      <c r="F115" s="37"/>
      <c r="G115" s="2"/>
      <c r="H115" s="2"/>
      <c r="I115" s="38"/>
      <c r="J115" s="39"/>
    </row>
    <row r="116" spans="4:10" ht="12.75" customHeight="1" x14ac:dyDescent="0.3">
      <c r="D116" s="2"/>
      <c r="E116" s="36"/>
      <c r="F116" s="37"/>
      <c r="G116" s="2"/>
      <c r="H116" s="2"/>
      <c r="I116" s="38"/>
      <c r="J116" s="39"/>
    </row>
    <row r="117" spans="4:10" ht="12.75" customHeight="1" x14ac:dyDescent="0.3">
      <c r="D117" s="2"/>
      <c r="E117" s="36"/>
      <c r="F117" s="37"/>
      <c r="G117" s="2"/>
      <c r="H117" s="2"/>
      <c r="I117" s="38"/>
      <c r="J117" s="39"/>
    </row>
    <row r="118" spans="4:10" ht="12.75" customHeight="1" x14ac:dyDescent="0.3">
      <c r="D118" s="2"/>
      <c r="E118" s="36"/>
      <c r="F118" s="37"/>
      <c r="G118" s="2"/>
      <c r="H118" s="2"/>
      <c r="I118" s="38"/>
      <c r="J118" s="39"/>
    </row>
    <row r="119" spans="4:10" ht="12.75" customHeight="1" x14ac:dyDescent="0.3">
      <c r="D119" s="2"/>
      <c r="E119" s="36"/>
      <c r="F119" s="37"/>
      <c r="G119" s="2"/>
      <c r="H119" s="2"/>
      <c r="I119" s="38"/>
      <c r="J119" s="39"/>
    </row>
    <row r="120" spans="4:10" ht="12.75" customHeight="1" x14ac:dyDescent="0.3">
      <c r="D120" s="2"/>
      <c r="E120" s="36"/>
      <c r="F120" s="37"/>
      <c r="G120" s="2"/>
      <c r="H120" s="2"/>
      <c r="I120" s="38"/>
      <c r="J120" s="39"/>
    </row>
    <row r="121" spans="4:10" ht="12.75" customHeight="1" x14ac:dyDescent="0.3">
      <c r="D121" s="2"/>
      <c r="E121" s="36"/>
      <c r="F121" s="37"/>
      <c r="G121" s="2"/>
      <c r="H121" s="2"/>
      <c r="I121" s="38"/>
      <c r="J121" s="39"/>
    </row>
    <row r="122" spans="4:10" ht="12.75" customHeight="1" x14ac:dyDescent="0.3">
      <c r="D122" s="2"/>
      <c r="E122" s="36"/>
      <c r="F122" s="37"/>
      <c r="G122" s="2"/>
      <c r="H122" s="2"/>
      <c r="I122" s="38"/>
      <c r="J122" s="39"/>
    </row>
    <row r="123" spans="4:10" ht="12.75" customHeight="1" x14ac:dyDescent="0.3">
      <c r="D123" s="2"/>
      <c r="E123" s="36"/>
      <c r="F123" s="37"/>
      <c r="G123" s="2"/>
      <c r="H123" s="2"/>
      <c r="I123" s="38"/>
      <c r="J123" s="39"/>
    </row>
    <row r="124" spans="4:10" ht="12.75" customHeight="1" x14ac:dyDescent="0.3">
      <c r="D124" s="2"/>
      <c r="E124" s="36"/>
      <c r="F124" s="37"/>
      <c r="G124" s="2"/>
      <c r="H124" s="2"/>
      <c r="I124" s="38"/>
      <c r="J124" s="39"/>
    </row>
    <row r="125" spans="4:10" ht="12.75" customHeight="1" x14ac:dyDescent="0.3">
      <c r="D125" s="2"/>
      <c r="E125" s="36"/>
      <c r="F125" s="37"/>
      <c r="G125" s="2"/>
      <c r="H125" s="2"/>
      <c r="I125" s="38"/>
      <c r="J125" s="39"/>
    </row>
    <row r="126" spans="4:10" ht="12.75" customHeight="1" x14ac:dyDescent="0.3">
      <c r="D126" s="2"/>
      <c r="E126" s="36"/>
      <c r="F126" s="37"/>
      <c r="G126" s="2"/>
      <c r="H126" s="2"/>
      <c r="I126" s="38"/>
      <c r="J126" s="39"/>
    </row>
    <row r="127" spans="4:10" ht="12.75" customHeight="1" x14ac:dyDescent="0.3">
      <c r="D127" s="2"/>
      <c r="E127" s="36"/>
      <c r="F127" s="37"/>
      <c r="G127" s="2"/>
      <c r="H127" s="2"/>
      <c r="I127" s="38"/>
      <c r="J127" s="39"/>
    </row>
    <row r="128" spans="4:10" ht="12.75" customHeight="1" x14ac:dyDescent="0.3">
      <c r="D128" s="2"/>
      <c r="E128" s="36"/>
      <c r="F128" s="37"/>
      <c r="G128" s="2"/>
      <c r="H128" s="2"/>
      <c r="I128" s="38"/>
      <c r="J128" s="39"/>
    </row>
    <row r="129" spans="4:10" ht="12.75" customHeight="1" x14ac:dyDescent="0.3">
      <c r="D129" s="2"/>
      <c r="E129" s="36"/>
      <c r="F129" s="37"/>
      <c r="G129" s="2"/>
      <c r="H129" s="2"/>
      <c r="I129" s="38"/>
      <c r="J129" s="39"/>
    </row>
    <row r="130" spans="4:10" ht="12.75" customHeight="1" x14ac:dyDescent="0.3">
      <c r="D130" s="2"/>
      <c r="E130" s="36"/>
      <c r="F130" s="37"/>
      <c r="G130" s="2"/>
      <c r="H130" s="2"/>
      <c r="I130" s="38"/>
      <c r="J130" s="39"/>
    </row>
    <row r="131" spans="4:10" ht="12.75" customHeight="1" x14ac:dyDescent="0.3">
      <c r="D131" s="2"/>
      <c r="E131" s="36"/>
      <c r="F131" s="37"/>
      <c r="G131" s="2"/>
      <c r="H131" s="2"/>
      <c r="I131" s="38"/>
      <c r="J131" s="39"/>
    </row>
    <row r="132" spans="4:10" ht="12.75" customHeight="1" x14ac:dyDescent="0.3">
      <c r="D132" s="2"/>
      <c r="E132" s="36"/>
      <c r="F132" s="37"/>
      <c r="G132" s="2"/>
      <c r="H132" s="2"/>
      <c r="I132" s="38"/>
      <c r="J132" s="39"/>
    </row>
    <row r="133" spans="4:10" ht="12.75" customHeight="1" x14ac:dyDescent="0.3">
      <c r="D133" s="2"/>
      <c r="E133" s="36"/>
      <c r="F133" s="37"/>
      <c r="G133" s="2"/>
      <c r="H133" s="2"/>
      <c r="I133" s="38"/>
      <c r="J133" s="39"/>
    </row>
    <row r="134" spans="4:10" ht="12.75" customHeight="1" x14ac:dyDescent="0.3">
      <c r="D134" s="2"/>
      <c r="E134" s="36"/>
      <c r="F134" s="37"/>
      <c r="G134" s="2"/>
      <c r="H134" s="2"/>
      <c r="I134" s="38"/>
      <c r="J134" s="39"/>
    </row>
    <row r="135" spans="4:10" ht="12.75" customHeight="1" x14ac:dyDescent="0.3">
      <c r="D135" s="2"/>
      <c r="E135" s="36"/>
      <c r="F135" s="37"/>
      <c r="G135" s="2"/>
      <c r="H135" s="2"/>
      <c r="I135" s="38"/>
      <c r="J135" s="39"/>
    </row>
    <row r="136" spans="4:10" ht="12.75" customHeight="1" x14ac:dyDescent="0.3">
      <c r="D136" s="2"/>
      <c r="E136" s="36"/>
      <c r="F136" s="37"/>
      <c r="G136" s="2"/>
      <c r="H136" s="2"/>
      <c r="I136" s="38"/>
      <c r="J136" s="39"/>
    </row>
    <row r="137" spans="4:10" ht="12.75" customHeight="1" x14ac:dyDescent="0.3">
      <c r="D137" s="2"/>
      <c r="E137" s="36"/>
      <c r="F137" s="37"/>
      <c r="G137" s="2"/>
      <c r="H137" s="2"/>
      <c r="I137" s="38"/>
      <c r="J137" s="39"/>
    </row>
    <row r="138" spans="4:10" ht="12.75" customHeight="1" x14ac:dyDescent="0.3">
      <c r="D138" s="2"/>
      <c r="E138" s="36"/>
      <c r="F138" s="37"/>
      <c r="G138" s="2"/>
      <c r="H138" s="2"/>
      <c r="I138" s="38"/>
      <c r="J138" s="39"/>
    </row>
    <row r="139" spans="4:10" ht="12.75" customHeight="1" x14ac:dyDescent="0.3">
      <c r="D139" s="2"/>
      <c r="E139" s="36"/>
      <c r="F139" s="37"/>
      <c r="G139" s="2"/>
      <c r="H139" s="2"/>
      <c r="I139" s="38"/>
      <c r="J139" s="39"/>
    </row>
    <row r="140" spans="4:10" ht="12.75" customHeight="1" x14ac:dyDescent="0.3">
      <c r="D140" s="2"/>
      <c r="E140" s="36"/>
      <c r="F140" s="37"/>
      <c r="G140" s="2"/>
      <c r="H140" s="2"/>
      <c r="I140" s="38"/>
      <c r="J140" s="39"/>
    </row>
    <row r="141" spans="4:10" ht="12.75" customHeight="1" x14ac:dyDescent="0.3">
      <c r="D141" s="2"/>
      <c r="E141" s="36"/>
      <c r="F141" s="37"/>
      <c r="G141" s="2"/>
      <c r="H141" s="2"/>
      <c r="I141" s="38"/>
      <c r="J141" s="39"/>
    </row>
    <row r="142" spans="4:10" ht="12.75" customHeight="1" x14ac:dyDescent="0.3">
      <c r="D142" s="2"/>
      <c r="E142" s="36"/>
      <c r="F142" s="37"/>
      <c r="G142" s="2"/>
      <c r="H142" s="2"/>
      <c r="I142" s="38"/>
      <c r="J142" s="39"/>
    </row>
    <row r="143" spans="4:10" ht="12.75" customHeight="1" x14ac:dyDescent="0.3">
      <c r="D143" s="2"/>
      <c r="E143" s="36"/>
      <c r="F143" s="37"/>
      <c r="G143" s="2"/>
      <c r="H143" s="2"/>
      <c r="I143" s="38"/>
      <c r="J143" s="39"/>
    </row>
    <row r="144" spans="4:10" ht="12.75" customHeight="1" x14ac:dyDescent="0.3">
      <c r="D144" s="2"/>
      <c r="E144" s="36"/>
      <c r="F144" s="37"/>
      <c r="G144" s="2"/>
      <c r="H144" s="2"/>
      <c r="I144" s="38"/>
      <c r="J144" s="39"/>
    </row>
    <row r="145" spans="4:10" ht="12.75" customHeight="1" x14ac:dyDescent="0.3">
      <c r="D145" s="2"/>
      <c r="E145" s="36"/>
      <c r="F145" s="37"/>
      <c r="G145" s="2"/>
      <c r="H145" s="2"/>
      <c r="I145" s="38"/>
      <c r="J145" s="39"/>
    </row>
    <row r="146" spans="4:10" ht="12.75" customHeight="1" x14ac:dyDescent="0.3">
      <c r="D146" s="2"/>
      <c r="E146" s="36"/>
      <c r="F146" s="37"/>
      <c r="G146" s="2"/>
      <c r="H146" s="2"/>
      <c r="I146" s="38"/>
      <c r="J146" s="39"/>
    </row>
    <row r="147" spans="4:10" ht="12.75" customHeight="1" x14ac:dyDescent="0.3">
      <c r="D147" s="2"/>
      <c r="E147" s="36"/>
      <c r="F147" s="37"/>
      <c r="G147" s="2"/>
      <c r="H147" s="2"/>
      <c r="I147" s="38"/>
      <c r="J147" s="39"/>
    </row>
    <row r="148" spans="4:10" ht="12.75" customHeight="1" x14ac:dyDescent="0.3">
      <c r="D148" s="2"/>
      <c r="E148" s="36"/>
      <c r="F148" s="37"/>
      <c r="G148" s="2"/>
      <c r="H148" s="2"/>
      <c r="I148" s="38"/>
      <c r="J148" s="39"/>
    </row>
    <row r="149" spans="4:10" ht="12.75" customHeight="1" x14ac:dyDescent="0.3">
      <c r="D149" s="2"/>
      <c r="E149" s="36"/>
      <c r="F149" s="37"/>
      <c r="G149" s="2"/>
      <c r="H149" s="2"/>
      <c r="I149" s="38"/>
      <c r="J149" s="39"/>
    </row>
    <row r="150" spans="4:10" ht="12.75" customHeight="1" x14ac:dyDescent="0.3">
      <c r="D150" s="2"/>
      <c r="E150" s="36"/>
      <c r="F150" s="37"/>
      <c r="G150" s="2"/>
      <c r="H150" s="2"/>
      <c r="I150" s="38"/>
      <c r="J150" s="39"/>
    </row>
    <row r="151" spans="4:10" ht="12.75" customHeight="1" x14ac:dyDescent="0.3">
      <c r="D151" s="2"/>
      <c r="E151" s="36"/>
      <c r="F151" s="37"/>
      <c r="G151" s="2"/>
      <c r="H151" s="2"/>
      <c r="I151" s="38"/>
      <c r="J151" s="39"/>
    </row>
    <row r="152" spans="4:10" ht="12.75" customHeight="1" x14ac:dyDescent="0.3">
      <c r="D152" s="2"/>
      <c r="E152" s="36"/>
      <c r="F152" s="37"/>
      <c r="G152" s="2"/>
      <c r="H152" s="2"/>
      <c r="I152" s="38"/>
      <c r="J152" s="39"/>
    </row>
    <row r="153" spans="4:10" ht="12.75" customHeight="1" x14ac:dyDescent="0.3">
      <c r="D153" s="2"/>
      <c r="E153" s="36"/>
      <c r="F153" s="37"/>
      <c r="G153" s="2"/>
      <c r="H153" s="2"/>
      <c r="I153" s="38"/>
      <c r="J153" s="39"/>
    </row>
    <row r="154" spans="4:10" ht="12.75" customHeight="1" x14ac:dyDescent="0.3">
      <c r="D154" s="2"/>
      <c r="E154" s="36"/>
      <c r="F154" s="37"/>
      <c r="G154" s="2"/>
      <c r="H154" s="2"/>
      <c r="I154" s="38"/>
      <c r="J154" s="39"/>
    </row>
    <row r="155" spans="4:10" ht="12.75" customHeight="1" x14ac:dyDescent="0.3">
      <c r="D155" s="2"/>
      <c r="E155" s="36"/>
      <c r="F155" s="37"/>
      <c r="G155" s="2"/>
      <c r="H155" s="2"/>
      <c r="I155" s="38"/>
      <c r="J155" s="39"/>
    </row>
    <row r="156" spans="4:10" ht="12.75" customHeight="1" x14ac:dyDescent="0.3">
      <c r="D156" s="2"/>
      <c r="E156" s="36"/>
      <c r="F156" s="37"/>
      <c r="G156" s="2"/>
      <c r="H156" s="2"/>
      <c r="I156" s="38"/>
      <c r="J156" s="39"/>
    </row>
    <row r="157" spans="4:10" ht="12.75" customHeight="1" x14ac:dyDescent="0.3">
      <c r="D157" s="2"/>
      <c r="E157" s="36"/>
      <c r="F157" s="37"/>
      <c r="G157" s="2"/>
      <c r="H157" s="2"/>
      <c r="I157" s="38"/>
      <c r="J157" s="39"/>
    </row>
    <row r="158" spans="4:10" ht="12.75" customHeight="1" x14ac:dyDescent="0.3">
      <c r="D158" s="2"/>
      <c r="E158" s="36"/>
      <c r="F158" s="37"/>
      <c r="G158" s="2"/>
      <c r="H158" s="2"/>
      <c r="I158" s="38"/>
      <c r="J158" s="39"/>
    </row>
    <row r="159" spans="4:10" ht="12.75" customHeight="1" x14ac:dyDescent="0.3">
      <c r="D159" s="2"/>
      <c r="E159" s="36"/>
      <c r="F159" s="37"/>
      <c r="G159" s="2"/>
      <c r="H159" s="2"/>
      <c r="I159" s="38"/>
      <c r="J159" s="39"/>
    </row>
    <row r="160" spans="4:10" ht="12.75" customHeight="1" x14ac:dyDescent="0.3">
      <c r="D160" s="2"/>
      <c r="E160" s="36"/>
      <c r="F160" s="37"/>
      <c r="G160" s="2"/>
      <c r="H160" s="2"/>
      <c r="I160" s="38"/>
      <c r="J160" s="39"/>
    </row>
    <row r="161" spans="4:10" ht="12.75" customHeight="1" x14ac:dyDescent="0.3">
      <c r="D161" s="2"/>
      <c r="E161" s="36"/>
      <c r="F161" s="37"/>
      <c r="G161" s="2"/>
      <c r="H161" s="2"/>
      <c r="I161" s="38"/>
      <c r="J161" s="39"/>
    </row>
    <row r="162" spans="4:10" ht="12.75" customHeight="1" x14ac:dyDescent="0.3">
      <c r="D162" s="2"/>
      <c r="E162" s="36"/>
      <c r="F162" s="37"/>
      <c r="G162" s="2"/>
      <c r="H162" s="2"/>
      <c r="I162" s="38"/>
      <c r="J162" s="39"/>
    </row>
    <row r="163" spans="4:10" ht="12.75" customHeight="1" x14ac:dyDescent="0.3">
      <c r="D163" s="2"/>
      <c r="E163" s="36"/>
      <c r="F163" s="37"/>
      <c r="G163" s="2"/>
      <c r="H163" s="2"/>
      <c r="I163" s="38"/>
      <c r="J163" s="39"/>
    </row>
    <row r="164" spans="4:10" ht="12.75" customHeight="1" x14ac:dyDescent="0.3">
      <c r="D164" s="2"/>
      <c r="E164" s="36"/>
      <c r="F164" s="37"/>
      <c r="G164" s="2"/>
      <c r="H164" s="2"/>
      <c r="I164" s="38"/>
      <c r="J164" s="39"/>
    </row>
    <row r="165" spans="4:10" ht="12.75" customHeight="1" x14ac:dyDescent="0.3">
      <c r="D165" s="2"/>
      <c r="E165" s="36"/>
      <c r="F165" s="37"/>
      <c r="G165" s="2"/>
      <c r="H165" s="2"/>
      <c r="I165" s="38"/>
      <c r="J165" s="39"/>
    </row>
    <row r="166" spans="4:10" ht="12.75" customHeight="1" x14ac:dyDescent="0.3">
      <c r="D166" s="2"/>
      <c r="E166" s="36"/>
      <c r="F166" s="37"/>
      <c r="G166" s="2"/>
      <c r="H166" s="2"/>
      <c r="I166" s="38"/>
      <c r="J166" s="39"/>
    </row>
    <row r="167" spans="4:10" ht="12.75" customHeight="1" x14ac:dyDescent="0.3">
      <c r="D167" s="2"/>
      <c r="E167" s="36"/>
      <c r="F167" s="37"/>
      <c r="G167" s="2"/>
      <c r="H167" s="2"/>
      <c r="I167" s="38"/>
      <c r="J167" s="39"/>
    </row>
    <row r="168" spans="4:10" ht="12.75" customHeight="1" x14ac:dyDescent="0.3">
      <c r="D168" s="2"/>
      <c r="E168" s="36"/>
      <c r="F168" s="37"/>
      <c r="G168" s="2"/>
      <c r="H168" s="2"/>
      <c r="I168" s="38"/>
      <c r="J168" s="39"/>
    </row>
    <row r="169" spans="4:10" ht="12.75" customHeight="1" x14ac:dyDescent="0.3">
      <c r="D169" s="2"/>
      <c r="E169" s="36"/>
      <c r="F169" s="37"/>
      <c r="G169" s="2"/>
      <c r="H169" s="2"/>
      <c r="I169" s="38"/>
      <c r="J169" s="39"/>
    </row>
    <row r="170" spans="4:10" ht="12.75" customHeight="1" x14ac:dyDescent="0.3">
      <c r="D170" s="2"/>
      <c r="E170" s="36"/>
      <c r="F170" s="37"/>
      <c r="G170" s="2"/>
      <c r="H170" s="2"/>
      <c r="I170" s="38"/>
      <c r="J170" s="39"/>
    </row>
    <row r="171" spans="4:10" ht="12.75" customHeight="1" x14ac:dyDescent="0.3">
      <c r="D171" s="2"/>
      <c r="E171" s="36"/>
      <c r="F171" s="37"/>
      <c r="G171" s="2"/>
      <c r="H171" s="2"/>
      <c r="I171" s="38"/>
      <c r="J171" s="39"/>
    </row>
    <row r="172" spans="4:10" ht="12.75" customHeight="1" x14ac:dyDescent="0.3">
      <c r="D172" s="2"/>
      <c r="E172" s="36"/>
      <c r="F172" s="37"/>
      <c r="G172" s="2"/>
      <c r="H172" s="2"/>
      <c r="I172" s="38"/>
      <c r="J172" s="39"/>
    </row>
    <row r="173" spans="4:10" ht="12.75" customHeight="1" x14ac:dyDescent="0.3">
      <c r="D173" s="2"/>
      <c r="E173" s="36"/>
      <c r="F173" s="37"/>
      <c r="G173" s="2"/>
      <c r="H173" s="2"/>
      <c r="I173" s="38"/>
      <c r="J173" s="39"/>
    </row>
    <row r="174" spans="4:10" ht="12.75" customHeight="1" x14ac:dyDescent="0.3">
      <c r="D174" s="2"/>
      <c r="E174" s="36"/>
      <c r="F174" s="37"/>
      <c r="G174" s="2"/>
      <c r="H174" s="2"/>
      <c r="I174" s="38"/>
      <c r="J174" s="39"/>
    </row>
    <row r="175" spans="4:10" ht="12.75" customHeight="1" x14ac:dyDescent="0.3">
      <c r="D175" s="2"/>
      <c r="E175" s="36"/>
      <c r="F175" s="37"/>
      <c r="G175" s="2"/>
      <c r="H175" s="2"/>
      <c r="I175" s="38"/>
      <c r="J175" s="39"/>
    </row>
    <row r="176" spans="4:10" ht="12.75" customHeight="1" x14ac:dyDescent="0.3">
      <c r="D176" s="2"/>
      <c r="E176" s="36"/>
      <c r="F176" s="37"/>
      <c r="G176" s="2"/>
      <c r="H176" s="2"/>
      <c r="I176" s="38"/>
      <c r="J176" s="39"/>
    </row>
    <row r="177" spans="4:10" ht="12.75" customHeight="1" x14ac:dyDescent="0.3">
      <c r="D177" s="2"/>
      <c r="E177" s="36"/>
      <c r="F177" s="37"/>
      <c r="G177" s="2"/>
      <c r="H177" s="2"/>
      <c r="I177" s="38"/>
      <c r="J177" s="39"/>
    </row>
    <row r="178" spans="4:10" ht="12.75" customHeight="1" x14ac:dyDescent="0.3">
      <c r="D178" s="2"/>
      <c r="E178" s="36"/>
      <c r="F178" s="37"/>
      <c r="G178" s="2"/>
      <c r="H178" s="2"/>
      <c r="I178" s="38"/>
      <c r="J178" s="39"/>
    </row>
    <row r="179" spans="4:10" ht="12.75" customHeight="1" x14ac:dyDescent="0.3">
      <c r="D179" s="2"/>
      <c r="E179" s="36"/>
      <c r="F179" s="37"/>
      <c r="G179" s="2"/>
      <c r="H179" s="2"/>
      <c r="I179" s="38"/>
      <c r="J179" s="39"/>
    </row>
    <row r="180" spans="4:10" ht="12.75" customHeight="1" x14ac:dyDescent="0.3">
      <c r="D180" s="2"/>
      <c r="E180" s="36"/>
      <c r="F180" s="37"/>
      <c r="G180" s="2"/>
      <c r="H180" s="2"/>
      <c r="I180" s="38"/>
      <c r="J180" s="39"/>
    </row>
    <row r="181" spans="4:10" ht="12.75" customHeight="1" x14ac:dyDescent="0.3">
      <c r="D181" s="2"/>
      <c r="E181" s="36"/>
      <c r="F181" s="37"/>
      <c r="G181" s="2"/>
      <c r="H181" s="2"/>
      <c r="I181" s="38"/>
      <c r="J181" s="39"/>
    </row>
    <row r="182" spans="4:10" ht="12.75" customHeight="1" x14ac:dyDescent="0.3">
      <c r="D182" s="2"/>
      <c r="E182" s="36"/>
      <c r="F182" s="37"/>
      <c r="G182" s="2"/>
      <c r="H182" s="2"/>
      <c r="I182" s="38"/>
      <c r="J182" s="39"/>
    </row>
    <row r="183" spans="4:10" ht="12.75" customHeight="1" x14ac:dyDescent="0.3">
      <c r="D183" s="2"/>
      <c r="E183" s="36"/>
      <c r="F183" s="37"/>
      <c r="G183" s="2"/>
      <c r="H183" s="2"/>
      <c r="I183" s="38"/>
      <c r="J183" s="39"/>
    </row>
    <row r="184" spans="4:10" ht="12.75" customHeight="1" x14ac:dyDescent="0.3">
      <c r="D184" s="2"/>
      <c r="E184" s="36"/>
      <c r="F184" s="37"/>
      <c r="G184" s="2"/>
      <c r="H184" s="2"/>
      <c r="I184" s="38"/>
      <c r="J184" s="39"/>
    </row>
    <row r="185" spans="4:10" ht="12.75" customHeight="1" x14ac:dyDescent="0.3">
      <c r="D185" s="2"/>
      <c r="E185" s="36"/>
      <c r="F185" s="37"/>
      <c r="G185" s="2"/>
      <c r="H185" s="2"/>
      <c r="I185" s="38"/>
      <c r="J185" s="39"/>
    </row>
    <row r="186" spans="4:10" ht="12.75" customHeight="1" x14ac:dyDescent="0.3">
      <c r="D186" s="2"/>
      <c r="E186" s="36"/>
      <c r="F186" s="37"/>
      <c r="G186" s="2"/>
      <c r="H186" s="2"/>
      <c r="I186" s="38"/>
      <c r="J186" s="39"/>
    </row>
    <row r="187" spans="4:10" ht="12.75" customHeight="1" x14ac:dyDescent="0.3">
      <c r="D187" s="2"/>
      <c r="E187" s="36"/>
      <c r="F187" s="37"/>
      <c r="G187" s="2"/>
      <c r="H187" s="2"/>
      <c r="I187" s="38"/>
      <c r="J187" s="39"/>
    </row>
    <row r="188" spans="4:10" ht="12.75" customHeight="1" x14ac:dyDescent="0.3">
      <c r="D188" s="2"/>
      <c r="E188" s="36"/>
      <c r="F188" s="37"/>
      <c r="G188" s="2"/>
      <c r="H188" s="2"/>
      <c r="I188" s="38"/>
      <c r="J188" s="39"/>
    </row>
    <row r="189" spans="4:10" ht="12.75" customHeight="1" x14ac:dyDescent="0.3">
      <c r="D189" s="2"/>
      <c r="E189" s="36"/>
      <c r="F189" s="37"/>
      <c r="G189" s="2"/>
      <c r="H189" s="2"/>
      <c r="I189" s="38"/>
      <c r="J189" s="39"/>
    </row>
    <row r="190" spans="4:10" ht="12.75" customHeight="1" x14ac:dyDescent="0.3">
      <c r="D190" s="2"/>
      <c r="E190" s="36"/>
      <c r="F190" s="37"/>
      <c r="G190" s="2"/>
      <c r="H190" s="2"/>
      <c r="I190" s="38"/>
      <c r="J190" s="39"/>
    </row>
    <row r="191" spans="4:10" ht="12.75" customHeight="1" x14ac:dyDescent="0.3">
      <c r="D191" s="2"/>
      <c r="E191" s="36"/>
      <c r="F191" s="37"/>
      <c r="G191" s="2"/>
      <c r="H191" s="2"/>
      <c r="I191" s="38"/>
      <c r="J191" s="39"/>
    </row>
    <row r="192" spans="4:10" ht="12.75" customHeight="1" x14ac:dyDescent="0.3">
      <c r="D192" s="2"/>
      <c r="E192" s="36"/>
      <c r="F192" s="37"/>
      <c r="G192" s="2"/>
      <c r="H192" s="2"/>
      <c r="I192" s="38"/>
      <c r="J192" s="39"/>
    </row>
    <row r="193" spans="4:10" ht="12.75" customHeight="1" x14ac:dyDescent="0.3">
      <c r="D193" s="2"/>
      <c r="E193" s="36"/>
      <c r="F193" s="37"/>
      <c r="G193" s="2"/>
      <c r="H193" s="2"/>
      <c r="I193" s="38"/>
      <c r="J193" s="39"/>
    </row>
    <row r="194" spans="4:10" ht="12.75" customHeight="1" x14ac:dyDescent="0.3">
      <c r="D194" s="2"/>
      <c r="E194" s="36"/>
      <c r="F194" s="37"/>
      <c r="G194" s="2"/>
      <c r="H194" s="2"/>
      <c r="I194" s="38"/>
      <c r="J194" s="39"/>
    </row>
    <row r="195" spans="4:10" ht="12.75" customHeight="1" x14ac:dyDescent="0.3">
      <c r="D195" s="2"/>
      <c r="E195" s="36"/>
      <c r="F195" s="37"/>
      <c r="G195" s="2"/>
      <c r="H195" s="2"/>
      <c r="I195" s="38"/>
      <c r="J195" s="39"/>
    </row>
    <row r="196" spans="4:10" ht="12.75" customHeight="1" x14ac:dyDescent="0.3">
      <c r="D196" s="2"/>
      <c r="E196" s="36"/>
      <c r="F196" s="37"/>
      <c r="G196" s="2"/>
      <c r="H196" s="2"/>
      <c r="I196" s="38"/>
      <c r="J196" s="39"/>
    </row>
    <row r="197" spans="4:10" ht="12.75" customHeight="1" x14ac:dyDescent="0.3">
      <c r="D197" s="2"/>
      <c r="E197" s="36"/>
      <c r="F197" s="37"/>
      <c r="G197" s="2"/>
      <c r="H197" s="2"/>
      <c r="I197" s="38"/>
      <c r="J197" s="39"/>
    </row>
    <row r="198" spans="4:10" ht="12.75" customHeight="1" x14ac:dyDescent="0.3">
      <c r="D198" s="2"/>
      <c r="E198" s="36"/>
      <c r="F198" s="37"/>
      <c r="G198" s="2"/>
      <c r="H198" s="2"/>
      <c r="I198" s="38"/>
      <c r="J198" s="39"/>
    </row>
    <row r="199" spans="4:10" ht="12.75" customHeight="1" x14ac:dyDescent="0.3">
      <c r="D199" s="2"/>
      <c r="E199" s="36"/>
      <c r="F199" s="37"/>
      <c r="G199" s="2"/>
      <c r="H199" s="2"/>
      <c r="I199" s="38"/>
      <c r="J199" s="39"/>
    </row>
    <row r="200" spans="4:10" ht="12.75" customHeight="1" x14ac:dyDescent="0.3">
      <c r="D200" s="2"/>
      <c r="E200" s="36"/>
      <c r="F200" s="37"/>
      <c r="G200" s="2"/>
      <c r="H200" s="2"/>
      <c r="I200" s="38"/>
      <c r="J200" s="39"/>
    </row>
    <row r="201" spans="4:10" ht="12.75" customHeight="1" x14ac:dyDescent="0.3">
      <c r="D201" s="2"/>
      <c r="E201" s="36"/>
      <c r="F201" s="37"/>
      <c r="G201" s="2"/>
      <c r="H201" s="2"/>
      <c r="I201" s="38"/>
      <c r="J201" s="39"/>
    </row>
    <row r="202" spans="4:10" ht="12.75" customHeight="1" x14ac:dyDescent="0.3">
      <c r="D202" s="2"/>
      <c r="E202" s="36"/>
      <c r="F202" s="37"/>
      <c r="G202" s="2"/>
      <c r="H202" s="2"/>
      <c r="I202" s="38"/>
      <c r="J202" s="39"/>
    </row>
    <row r="203" spans="4:10" ht="12.75" customHeight="1" x14ac:dyDescent="0.3">
      <c r="D203" s="2"/>
      <c r="E203" s="36"/>
      <c r="F203" s="37"/>
      <c r="G203" s="2"/>
      <c r="H203" s="2"/>
      <c r="I203" s="38"/>
      <c r="J203" s="39"/>
    </row>
    <row r="204" spans="4:10" ht="12.75" customHeight="1" x14ac:dyDescent="0.3">
      <c r="D204" s="2"/>
      <c r="E204" s="36"/>
      <c r="F204" s="37"/>
      <c r="G204" s="2"/>
      <c r="H204" s="2"/>
      <c r="I204" s="38"/>
      <c r="J204" s="39"/>
    </row>
    <row r="205" spans="4:10" ht="12.75" customHeight="1" x14ac:dyDescent="0.3">
      <c r="D205" s="2"/>
      <c r="E205" s="36"/>
      <c r="F205" s="37"/>
      <c r="G205" s="2"/>
      <c r="H205" s="2"/>
      <c r="I205" s="38"/>
      <c r="J205" s="39"/>
    </row>
    <row r="206" spans="4:10" ht="12.75" customHeight="1" x14ac:dyDescent="0.3">
      <c r="D206" s="2"/>
      <c r="E206" s="36"/>
      <c r="F206" s="37"/>
      <c r="G206" s="2"/>
      <c r="H206" s="2"/>
      <c r="I206" s="38"/>
      <c r="J206" s="39"/>
    </row>
    <row r="207" spans="4:10" ht="12.75" customHeight="1" x14ac:dyDescent="0.3">
      <c r="D207" s="2"/>
      <c r="E207" s="36"/>
      <c r="F207" s="37"/>
      <c r="G207" s="2"/>
      <c r="H207" s="2"/>
      <c r="I207" s="38"/>
      <c r="J207" s="39"/>
    </row>
    <row r="208" spans="4:10" ht="12.75" customHeight="1" x14ac:dyDescent="0.3">
      <c r="D208" s="2"/>
      <c r="E208" s="36"/>
      <c r="F208" s="37"/>
      <c r="G208" s="2"/>
      <c r="H208" s="2"/>
      <c r="I208" s="38"/>
      <c r="J208" s="39"/>
    </row>
    <row r="209" spans="4:10" ht="12.75" customHeight="1" x14ac:dyDescent="0.3">
      <c r="D209" s="2"/>
      <c r="E209" s="36"/>
      <c r="F209" s="37"/>
      <c r="G209" s="2"/>
      <c r="H209" s="2"/>
      <c r="I209" s="38"/>
      <c r="J209" s="39"/>
    </row>
    <row r="210" spans="4:10" ht="12.75" customHeight="1" x14ac:dyDescent="0.3">
      <c r="D210" s="2"/>
      <c r="E210" s="36"/>
      <c r="F210" s="37"/>
      <c r="G210" s="2"/>
      <c r="H210" s="2"/>
      <c r="I210" s="38"/>
      <c r="J210" s="39"/>
    </row>
    <row r="211" spans="4:10" ht="12.75" customHeight="1" x14ac:dyDescent="0.3">
      <c r="D211" s="2"/>
      <c r="E211" s="36"/>
      <c r="F211" s="37"/>
      <c r="G211" s="2"/>
      <c r="H211" s="2"/>
      <c r="I211" s="38"/>
      <c r="J211" s="39"/>
    </row>
    <row r="212" spans="4:10" ht="12.75" customHeight="1" x14ac:dyDescent="0.3">
      <c r="D212" s="2"/>
      <c r="E212" s="36"/>
      <c r="F212" s="37"/>
      <c r="G212" s="2"/>
      <c r="H212" s="2"/>
      <c r="I212" s="38"/>
      <c r="J212" s="39"/>
    </row>
    <row r="213" spans="4:10" ht="12.75" customHeight="1" x14ac:dyDescent="0.3">
      <c r="D213" s="2"/>
      <c r="E213" s="36"/>
      <c r="F213" s="37"/>
      <c r="G213" s="2"/>
      <c r="H213" s="2"/>
      <c r="I213" s="38"/>
      <c r="J213" s="39"/>
    </row>
    <row r="214" spans="4:10" ht="12.75" customHeight="1" x14ac:dyDescent="0.3">
      <c r="D214" s="2"/>
      <c r="E214" s="36"/>
      <c r="F214" s="37"/>
      <c r="G214" s="2"/>
      <c r="H214" s="2"/>
      <c r="I214" s="38"/>
      <c r="J214" s="39"/>
    </row>
    <row r="215" spans="4:10" ht="12.75" customHeight="1" x14ac:dyDescent="0.3">
      <c r="D215" s="2"/>
      <c r="E215" s="36"/>
      <c r="F215" s="37"/>
      <c r="G215" s="2"/>
      <c r="H215" s="2"/>
      <c r="I215" s="38"/>
      <c r="J215" s="39"/>
    </row>
    <row r="216" spans="4:10" ht="12.75" customHeight="1" x14ac:dyDescent="0.3">
      <c r="D216" s="2"/>
      <c r="E216" s="36"/>
      <c r="F216" s="37"/>
      <c r="G216" s="2"/>
      <c r="H216" s="2"/>
      <c r="I216" s="38"/>
      <c r="J216" s="39"/>
    </row>
    <row r="217" spans="4:10" ht="12.75" customHeight="1" x14ac:dyDescent="0.3">
      <c r="D217" s="2"/>
      <c r="E217" s="36"/>
      <c r="F217" s="37"/>
      <c r="G217" s="2"/>
      <c r="H217" s="2"/>
      <c r="I217" s="38"/>
      <c r="J217" s="39"/>
    </row>
    <row r="218" spans="4:10" ht="12.75" customHeight="1" x14ac:dyDescent="0.3">
      <c r="D218" s="2"/>
      <c r="E218" s="36"/>
      <c r="F218" s="37"/>
      <c r="G218" s="2"/>
      <c r="H218" s="2"/>
      <c r="I218" s="38"/>
      <c r="J218" s="39"/>
    </row>
    <row r="219" spans="4:10" ht="12.75" customHeight="1" x14ac:dyDescent="0.3">
      <c r="D219" s="2"/>
      <c r="E219" s="36"/>
      <c r="F219" s="37"/>
      <c r="G219" s="2"/>
      <c r="H219" s="2"/>
      <c r="I219" s="38"/>
      <c r="J219" s="39"/>
    </row>
    <row r="220" spans="4:10" ht="12.75" customHeight="1" x14ac:dyDescent="0.3">
      <c r="D220" s="2"/>
      <c r="E220" s="36"/>
      <c r="F220" s="37"/>
      <c r="G220" s="2"/>
      <c r="H220" s="2"/>
      <c r="I220" s="38"/>
      <c r="J220" s="39"/>
    </row>
    <row r="221" spans="4:10" ht="12.75" customHeight="1" x14ac:dyDescent="0.3">
      <c r="D221" s="2"/>
      <c r="E221" s="36"/>
      <c r="F221" s="37"/>
      <c r="G221" s="2"/>
      <c r="H221" s="2"/>
      <c r="I221" s="38"/>
      <c r="J221" s="39"/>
    </row>
    <row r="222" spans="4:10" ht="12.75" customHeight="1" x14ac:dyDescent="0.3">
      <c r="D222" s="2"/>
      <c r="E222" s="36"/>
      <c r="F222" s="37"/>
      <c r="G222" s="2"/>
      <c r="H222" s="2"/>
      <c r="I222" s="38"/>
      <c r="J222" s="39"/>
    </row>
    <row r="223" spans="4:10" ht="12.75" customHeight="1" x14ac:dyDescent="0.3">
      <c r="D223" s="2"/>
      <c r="E223" s="36"/>
      <c r="F223" s="37"/>
      <c r="G223" s="2"/>
      <c r="H223" s="2"/>
      <c r="I223" s="38"/>
      <c r="J223" s="39"/>
    </row>
    <row r="224" spans="4:10" ht="12.75" customHeight="1" x14ac:dyDescent="0.3">
      <c r="D224" s="2"/>
      <c r="E224" s="36"/>
      <c r="F224" s="37"/>
      <c r="G224" s="2"/>
      <c r="H224" s="2"/>
      <c r="I224" s="38"/>
      <c r="J224" s="39"/>
    </row>
    <row r="225" spans="4:10" ht="12.75" customHeight="1" x14ac:dyDescent="0.3">
      <c r="D225" s="2"/>
      <c r="E225" s="36"/>
      <c r="F225" s="37"/>
      <c r="G225" s="2"/>
      <c r="H225" s="2"/>
      <c r="I225" s="38"/>
      <c r="J225" s="39"/>
    </row>
    <row r="226" spans="4:10" ht="12.75" customHeight="1" x14ac:dyDescent="0.3">
      <c r="D226" s="2"/>
      <c r="E226" s="36"/>
      <c r="F226" s="37"/>
      <c r="G226" s="2"/>
      <c r="H226" s="2"/>
      <c r="I226" s="38"/>
      <c r="J226" s="39"/>
    </row>
    <row r="227" spans="4:10" ht="12.75" customHeight="1" x14ac:dyDescent="0.3">
      <c r="D227" s="2"/>
      <c r="E227" s="36"/>
      <c r="F227" s="37"/>
      <c r="G227" s="2"/>
      <c r="H227" s="2"/>
      <c r="I227" s="38"/>
      <c r="J227" s="39"/>
    </row>
    <row r="228" spans="4:10" ht="12.75" customHeight="1" x14ac:dyDescent="0.3">
      <c r="D228" s="2"/>
      <c r="E228" s="36"/>
      <c r="F228" s="37"/>
      <c r="G228" s="2"/>
      <c r="H228" s="2"/>
      <c r="I228" s="38"/>
      <c r="J228" s="39"/>
    </row>
    <row r="229" spans="4:10" ht="12.75" customHeight="1" x14ac:dyDescent="0.3">
      <c r="D229" s="2"/>
      <c r="E229" s="36"/>
      <c r="F229" s="37"/>
      <c r="G229" s="2"/>
      <c r="H229" s="2"/>
      <c r="I229" s="38"/>
      <c r="J229" s="39"/>
    </row>
    <row r="230" spans="4:10" ht="12.75" customHeight="1" x14ac:dyDescent="0.3">
      <c r="D230" s="2"/>
      <c r="E230" s="36"/>
      <c r="F230" s="37"/>
      <c r="G230" s="2"/>
      <c r="H230" s="2"/>
      <c r="I230" s="38"/>
      <c r="J230" s="39"/>
    </row>
    <row r="231" spans="4:10" ht="12.75" customHeight="1" x14ac:dyDescent="0.3">
      <c r="D231" s="2"/>
      <c r="E231" s="36"/>
      <c r="F231" s="37"/>
      <c r="G231" s="2"/>
      <c r="H231" s="2"/>
      <c r="I231" s="38"/>
      <c r="J231" s="39"/>
    </row>
    <row r="232" spans="4:10" ht="12.75" customHeight="1" x14ac:dyDescent="0.3">
      <c r="D232" s="2"/>
      <c r="E232" s="36"/>
      <c r="F232" s="37"/>
      <c r="G232" s="2"/>
      <c r="H232" s="2"/>
      <c r="I232" s="38"/>
      <c r="J232" s="39"/>
    </row>
    <row r="233" spans="4:10" ht="12.75" customHeight="1" x14ac:dyDescent="0.3">
      <c r="D233" s="2"/>
      <c r="E233" s="36"/>
      <c r="F233" s="37"/>
      <c r="G233" s="2"/>
      <c r="H233" s="2"/>
      <c r="I233" s="38"/>
      <c r="J233" s="39"/>
    </row>
    <row r="234" spans="4:10" ht="12.75" customHeight="1" x14ac:dyDescent="0.3">
      <c r="D234" s="2"/>
      <c r="E234" s="36"/>
      <c r="F234" s="37"/>
      <c r="G234" s="2"/>
      <c r="H234" s="2"/>
      <c r="I234" s="38"/>
      <c r="J234" s="39"/>
    </row>
    <row r="235" spans="4:10" ht="12.75" customHeight="1" x14ac:dyDescent="0.3">
      <c r="D235" s="2"/>
      <c r="E235" s="36"/>
      <c r="F235" s="37"/>
      <c r="G235" s="2"/>
      <c r="H235" s="2"/>
      <c r="I235" s="38"/>
      <c r="J235" s="39"/>
    </row>
    <row r="236" spans="4:10" ht="12.75" customHeight="1" x14ac:dyDescent="0.3">
      <c r="D236" s="2"/>
      <c r="E236" s="36"/>
      <c r="F236" s="37"/>
      <c r="G236" s="2"/>
      <c r="H236" s="2"/>
      <c r="I236" s="38"/>
      <c r="J236" s="39"/>
    </row>
    <row r="237" spans="4:10" ht="12.75" customHeight="1" x14ac:dyDescent="0.3">
      <c r="D237" s="2"/>
      <c r="E237" s="36"/>
      <c r="F237" s="37"/>
      <c r="G237" s="2"/>
      <c r="H237" s="2"/>
      <c r="I237" s="38"/>
      <c r="J237" s="39"/>
    </row>
    <row r="238" spans="4:10" ht="12.75" customHeight="1" x14ac:dyDescent="0.3">
      <c r="D238" s="2"/>
      <c r="E238" s="36"/>
      <c r="F238" s="37"/>
      <c r="G238" s="2"/>
      <c r="H238" s="2"/>
      <c r="I238" s="38"/>
      <c r="J238" s="39"/>
    </row>
    <row r="239" spans="4:10" ht="12.75" customHeight="1" x14ac:dyDescent="0.3">
      <c r="D239" s="2"/>
      <c r="E239" s="36"/>
      <c r="F239" s="37"/>
      <c r="G239" s="2"/>
      <c r="H239" s="2"/>
      <c r="I239" s="38"/>
      <c r="J239" s="39"/>
    </row>
    <row r="240" spans="4:10" ht="12.75" customHeight="1" x14ac:dyDescent="0.3">
      <c r="D240" s="2"/>
      <c r="E240" s="36"/>
      <c r="F240" s="37"/>
      <c r="G240" s="2"/>
      <c r="H240" s="2"/>
      <c r="I240" s="38"/>
      <c r="J240" s="39"/>
    </row>
    <row r="241" spans="4:10" ht="12.75" customHeight="1" x14ac:dyDescent="0.3">
      <c r="D241" s="2"/>
      <c r="E241" s="36"/>
      <c r="F241" s="37"/>
      <c r="G241" s="2"/>
      <c r="H241" s="2"/>
      <c r="I241" s="38"/>
      <c r="J241" s="39"/>
    </row>
    <row r="242" spans="4:10" ht="12.75" customHeight="1" x14ac:dyDescent="0.3">
      <c r="D242" s="2"/>
      <c r="E242" s="36"/>
      <c r="F242" s="37"/>
      <c r="G242" s="2"/>
      <c r="H242" s="2"/>
      <c r="I242" s="38"/>
      <c r="J242" s="39"/>
    </row>
    <row r="243" spans="4:10" ht="12.75" customHeight="1" x14ac:dyDescent="0.3">
      <c r="D243" s="2"/>
      <c r="E243" s="36"/>
      <c r="F243" s="37"/>
      <c r="G243" s="2"/>
      <c r="H243" s="2"/>
      <c r="I243" s="38"/>
      <c r="J243" s="39"/>
    </row>
    <row r="244" spans="4:10" ht="12.75" customHeight="1" x14ac:dyDescent="0.3">
      <c r="D244" s="2"/>
      <c r="E244" s="36"/>
      <c r="F244" s="37"/>
      <c r="G244" s="2"/>
      <c r="H244" s="2"/>
      <c r="I244" s="38"/>
      <c r="J244" s="39"/>
    </row>
    <row r="245" spans="4:10" ht="12.75" customHeight="1" x14ac:dyDescent="0.3">
      <c r="D245" s="2"/>
      <c r="E245" s="36"/>
      <c r="F245" s="37"/>
      <c r="G245" s="2"/>
      <c r="H245" s="2"/>
      <c r="I245" s="38"/>
      <c r="J245" s="39"/>
    </row>
    <row r="246" spans="4:10" ht="12.75" customHeight="1" x14ac:dyDescent="0.3">
      <c r="D246" s="2"/>
      <c r="E246" s="36"/>
      <c r="F246" s="37"/>
      <c r="G246" s="2"/>
      <c r="H246" s="2"/>
      <c r="I246" s="38"/>
      <c r="J246" s="39"/>
    </row>
    <row r="247" spans="4:10" ht="12.75" customHeight="1" x14ac:dyDescent="0.3">
      <c r="D247" s="2"/>
      <c r="E247" s="36"/>
      <c r="F247" s="37"/>
      <c r="G247" s="2"/>
      <c r="H247" s="2"/>
      <c r="I247" s="38"/>
      <c r="J247" s="39"/>
    </row>
    <row r="248" spans="4:10" ht="12.75" customHeight="1" x14ac:dyDescent="0.3">
      <c r="D248" s="2"/>
      <c r="E248" s="36"/>
      <c r="F248" s="37"/>
      <c r="G248" s="2"/>
      <c r="H248" s="2"/>
      <c r="I248" s="38"/>
      <c r="J248" s="39"/>
    </row>
    <row r="249" spans="4:10" ht="12.75" customHeight="1" x14ac:dyDescent="0.3">
      <c r="D249" s="2"/>
      <c r="E249" s="36"/>
      <c r="F249" s="37"/>
      <c r="G249" s="2"/>
      <c r="H249" s="2"/>
      <c r="I249" s="38"/>
      <c r="J249" s="39"/>
    </row>
    <row r="250" spans="4:10" ht="12.75" customHeight="1" x14ac:dyDescent="0.3">
      <c r="D250" s="2"/>
      <c r="E250" s="36"/>
      <c r="F250" s="37"/>
      <c r="G250" s="2"/>
      <c r="H250" s="2"/>
      <c r="I250" s="38"/>
      <c r="J250" s="39"/>
    </row>
    <row r="251" spans="4:10" ht="12.75" customHeight="1" x14ac:dyDescent="0.3">
      <c r="D251" s="2"/>
      <c r="E251" s="36"/>
      <c r="F251" s="37"/>
      <c r="G251" s="2"/>
      <c r="H251" s="2"/>
      <c r="I251" s="38"/>
      <c r="J251" s="39"/>
    </row>
    <row r="252" spans="4:10" ht="12.75" customHeight="1" x14ac:dyDescent="0.3">
      <c r="D252" s="2"/>
      <c r="E252" s="36"/>
      <c r="F252" s="37"/>
      <c r="G252" s="2"/>
      <c r="H252" s="2"/>
      <c r="I252" s="38"/>
      <c r="J252" s="39"/>
    </row>
    <row r="253" spans="4:10" ht="12.75" customHeight="1" x14ac:dyDescent="0.3">
      <c r="D253" s="2"/>
      <c r="E253" s="36"/>
      <c r="F253" s="37"/>
      <c r="G253" s="2"/>
      <c r="H253" s="2"/>
      <c r="I253" s="38"/>
      <c r="J253" s="39"/>
    </row>
    <row r="254" spans="4:10" ht="12.75" customHeight="1" x14ac:dyDescent="0.3">
      <c r="D254" s="2"/>
      <c r="E254" s="36"/>
      <c r="F254" s="37"/>
      <c r="G254" s="2"/>
      <c r="H254" s="2"/>
      <c r="I254" s="38"/>
      <c r="J254" s="39"/>
    </row>
    <row r="255" spans="4:10" ht="12.75" customHeight="1" x14ac:dyDescent="0.3">
      <c r="D255" s="2"/>
      <c r="E255" s="36"/>
      <c r="F255" s="37"/>
      <c r="G255" s="2"/>
      <c r="H255" s="2"/>
      <c r="I255" s="38"/>
      <c r="J255" s="39"/>
    </row>
    <row r="256" spans="4:10" ht="12.75" customHeight="1" x14ac:dyDescent="0.3">
      <c r="D256" s="2"/>
      <c r="E256" s="36"/>
      <c r="F256" s="37"/>
      <c r="G256" s="2"/>
      <c r="H256" s="2"/>
      <c r="I256" s="38"/>
      <c r="J256" s="39"/>
    </row>
    <row r="257" spans="4:10" ht="12.75" customHeight="1" x14ac:dyDescent="0.3">
      <c r="D257" s="2"/>
      <c r="E257" s="36"/>
      <c r="F257" s="37"/>
      <c r="G257" s="2"/>
      <c r="H257" s="2"/>
      <c r="I257" s="38"/>
      <c r="J257" s="39"/>
    </row>
    <row r="258" spans="4:10" ht="12.75" customHeight="1" x14ac:dyDescent="0.3">
      <c r="D258" s="2"/>
      <c r="E258" s="36"/>
      <c r="F258" s="37"/>
      <c r="G258" s="2"/>
      <c r="H258" s="2"/>
      <c r="I258" s="38"/>
      <c r="J258" s="39"/>
    </row>
    <row r="259" spans="4:10" ht="12.75" customHeight="1" x14ac:dyDescent="0.3">
      <c r="D259" s="2"/>
      <c r="E259" s="36"/>
      <c r="F259" s="37"/>
      <c r="G259" s="2"/>
      <c r="H259" s="2"/>
      <c r="I259" s="38"/>
      <c r="J259" s="39"/>
    </row>
    <row r="260" spans="4:10" ht="12.75" customHeight="1" x14ac:dyDescent="0.3">
      <c r="D260" s="2"/>
      <c r="E260" s="36"/>
      <c r="F260" s="37"/>
      <c r="G260" s="2"/>
      <c r="H260" s="2"/>
      <c r="I260" s="38"/>
      <c r="J260" s="39"/>
    </row>
    <row r="261" spans="4:10" ht="12.75" customHeight="1" x14ac:dyDescent="0.3">
      <c r="D261" s="2"/>
      <c r="E261" s="36"/>
      <c r="F261" s="37"/>
      <c r="G261" s="2"/>
      <c r="H261" s="2"/>
      <c r="I261" s="38"/>
      <c r="J261" s="39"/>
    </row>
    <row r="262" spans="4:10" ht="12.75" customHeight="1" x14ac:dyDescent="0.3">
      <c r="D262" s="2"/>
      <c r="E262" s="36"/>
      <c r="F262" s="37"/>
      <c r="G262" s="2"/>
      <c r="H262" s="2"/>
      <c r="I262" s="38"/>
      <c r="J262" s="39"/>
    </row>
    <row r="263" spans="4:10" ht="12.75" customHeight="1" x14ac:dyDescent="0.3">
      <c r="D263" s="2"/>
      <c r="E263" s="36"/>
      <c r="F263" s="37"/>
      <c r="G263" s="2"/>
      <c r="H263" s="2"/>
      <c r="I263" s="38"/>
      <c r="J263" s="39"/>
    </row>
    <row r="264" spans="4:10" ht="12.75" customHeight="1" x14ac:dyDescent="0.3">
      <c r="D264" s="2"/>
      <c r="E264" s="36"/>
      <c r="F264" s="37"/>
      <c r="G264" s="2"/>
      <c r="H264" s="2"/>
      <c r="I264" s="38"/>
      <c r="J264" s="39"/>
    </row>
    <row r="265" spans="4:10" ht="12.75" customHeight="1" x14ac:dyDescent="0.3">
      <c r="D265" s="2"/>
      <c r="E265" s="36"/>
      <c r="F265" s="37"/>
      <c r="G265" s="2"/>
      <c r="H265" s="2"/>
      <c r="I265" s="38"/>
      <c r="J265" s="39"/>
    </row>
    <row r="266" spans="4:10" ht="12.75" customHeight="1" x14ac:dyDescent="0.3">
      <c r="D266" s="2"/>
      <c r="E266" s="36"/>
      <c r="F266" s="37"/>
      <c r="G266" s="2"/>
      <c r="H266" s="2"/>
      <c r="I266" s="38"/>
      <c r="J266" s="39"/>
    </row>
    <row r="267" spans="4:10" ht="12.75" customHeight="1" x14ac:dyDescent="0.3">
      <c r="D267" s="2"/>
      <c r="E267" s="36"/>
      <c r="F267" s="37"/>
      <c r="G267" s="2"/>
      <c r="H267" s="2"/>
      <c r="I267" s="38"/>
      <c r="J267" s="39"/>
    </row>
    <row r="268" spans="4:10" ht="12.75" customHeight="1" x14ac:dyDescent="0.3">
      <c r="D268" s="2"/>
      <c r="E268" s="36"/>
      <c r="F268" s="37"/>
      <c r="G268" s="2"/>
      <c r="H268" s="2"/>
      <c r="I268" s="38"/>
      <c r="J268" s="39"/>
    </row>
    <row r="269" spans="4:10" ht="12.75" customHeight="1" x14ac:dyDescent="0.3">
      <c r="D269" s="2"/>
      <c r="E269" s="36"/>
      <c r="F269" s="37"/>
      <c r="G269" s="2"/>
      <c r="H269" s="2"/>
      <c r="I269" s="38"/>
      <c r="J269" s="39"/>
    </row>
    <row r="270" spans="4:10" ht="12.75" customHeight="1" x14ac:dyDescent="0.3">
      <c r="D270" s="2"/>
      <c r="E270" s="36"/>
      <c r="F270" s="37"/>
      <c r="G270" s="2"/>
      <c r="H270" s="2"/>
      <c r="I270" s="38"/>
      <c r="J270" s="39"/>
    </row>
    <row r="271" spans="4:10" ht="12.75" customHeight="1" x14ac:dyDescent="0.3">
      <c r="D271" s="2"/>
      <c r="E271" s="36"/>
      <c r="F271" s="37"/>
      <c r="G271" s="2"/>
      <c r="H271" s="2"/>
      <c r="I271" s="38"/>
      <c r="J271" s="39"/>
    </row>
    <row r="272" spans="4:10" ht="12.75" customHeight="1" x14ac:dyDescent="0.3">
      <c r="D272" s="2"/>
      <c r="E272" s="36"/>
      <c r="F272" s="37"/>
      <c r="G272" s="2"/>
      <c r="H272" s="2"/>
      <c r="I272" s="38"/>
      <c r="J272" s="39"/>
    </row>
    <row r="273" spans="4:10" ht="12.75" customHeight="1" x14ac:dyDescent="0.3">
      <c r="D273" s="2"/>
      <c r="E273" s="36"/>
      <c r="F273" s="37"/>
      <c r="G273" s="2"/>
      <c r="H273" s="2"/>
      <c r="I273" s="38"/>
      <c r="J273" s="39"/>
    </row>
    <row r="274" spans="4:10" ht="12.75" customHeight="1" x14ac:dyDescent="0.3">
      <c r="D274" s="2"/>
      <c r="E274" s="36"/>
      <c r="F274" s="37"/>
      <c r="G274" s="2"/>
      <c r="H274" s="2"/>
      <c r="I274" s="38"/>
      <c r="J274" s="39"/>
    </row>
    <row r="275" spans="4:10" ht="12.75" customHeight="1" x14ac:dyDescent="0.3">
      <c r="D275" s="2"/>
      <c r="E275" s="36"/>
      <c r="F275" s="37"/>
      <c r="G275" s="2"/>
      <c r="H275" s="2"/>
      <c r="I275" s="38"/>
      <c r="J275" s="39"/>
    </row>
    <row r="276" spans="4:10" ht="12.75" customHeight="1" x14ac:dyDescent="0.3">
      <c r="D276" s="2"/>
      <c r="E276" s="36"/>
      <c r="F276" s="37"/>
      <c r="G276" s="2"/>
      <c r="H276" s="2"/>
      <c r="I276" s="38"/>
      <c r="J276" s="39"/>
    </row>
    <row r="277" spans="4:10" ht="12.75" customHeight="1" x14ac:dyDescent="0.3">
      <c r="D277" s="2"/>
      <c r="E277" s="36"/>
      <c r="F277" s="37"/>
      <c r="G277" s="2"/>
      <c r="H277" s="2"/>
      <c r="I277" s="38"/>
      <c r="J277" s="39"/>
    </row>
    <row r="278" spans="4:10" ht="12.75" customHeight="1" x14ac:dyDescent="0.3">
      <c r="D278" s="2"/>
      <c r="E278" s="36"/>
      <c r="F278" s="37"/>
      <c r="G278" s="2"/>
      <c r="H278" s="2"/>
      <c r="I278" s="38"/>
      <c r="J278" s="39"/>
    </row>
    <row r="279" spans="4:10" ht="12.75" customHeight="1" x14ac:dyDescent="0.3">
      <c r="D279" s="2"/>
      <c r="E279" s="36"/>
      <c r="F279" s="37"/>
      <c r="G279" s="2"/>
      <c r="H279" s="2"/>
      <c r="I279" s="38"/>
      <c r="J279" s="39"/>
    </row>
    <row r="280" spans="4:10" ht="12.75" customHeight="1" x14ac:dyDescent="0.3">
      <c r="D280" s="2"/>
      <c r="E280" s="36"/>
      <c r="F280" s="37"/>
      <c r="G280" s="2"/>
      <c r="H280" s="2"/>
      <c r="I280" s="38"/>
      <c r="J280" s="39"/>
    </row>
    <row r="281" spans="4:10" ht="12.75" customHeight="1" x14ac:dyDescent="0.3">
      <c r="D281" s="2"/>
      <c r="E281" s="36"/>
      <c r="F281" s="37"/>
      <c r="G281" s="2"/>
      <c r="H281" s="2"/>
      <c r="I281" s="38"/>
      <c r="J281" s="39"/>
    </row>
    <row r="282" spans="4:10" ht="12.75" customHeight="1" x14ac:dyDescent="0.3">
      <c r="D282" s="2"/>
      <c r="E282" s="36"/>
      <c r="F282" s="37"/>
      <c r="G282" s="2"/>
      <c r="H282" s="2"/>
      <c r="I282" s="38"/>
      <c r="J282" s="39"/>
    </row>
    <row r="283" spans="4:10" ht="12.75" customHeight="1" x14ac:dyDescent="0.3">
      <c r="D283" s="2"/>
      <c r="E283" s="36"/>
      <c r="F283" s="37"/>
      <c r="G283" s="2"/>
      <c r="H283" s="2"/>
      <c r="I283" s="38"/>
      <c r="J283" s="39"/>
    </row>
    <row r="284" spans="4:10" ht="12.75" customHeight="1" x14ac:dyDescent="0.3">
      <c r="D284" s="2"/>
      <c r="E284" s="36"/>
      <c r="F284" s="37"/>
      <c r="G284" s="2"/>
      <c r="H284" s="2"/>
      <c r="I284" s="38"/>
      <c r="J284" s="39"/>
    </row>
    <row r="285" spans="4:10" ht="12.75" customHeight="1" x14ac:dyDescent="0.3">
      <c r="D285" s="2"/>
      <c r="E285" s="36"/>
      <c r="F285" s="37"/>
      <c r="G285" s="2"/>
      <c r="H285" s="2"/>
      <c r="I285" s="38"/>
      <c r="J285" s="39"/>
    </row>
    <row r="286" spans="4:10" ht="12.75" customHeight="1" x14ac:dyDescent="0.3">
      <c r="D286" s="2"/>
      <c r="E286" s="36"/>
      <c r="F286" s="37"/>
      <c r="G286" s="2"/>
      <c r="H286" s="2"/>
      <c r="I286" s="38"/>
      <c r="J286" s="39"/>
    </row>
    <row r="287" spans="4:10" ht="12.75" customHeight="1" x14ac:dyDescent="0.3">
      <c r="D287" s="2"/>
      <c r="E287" s="36"/>
      <c r="F287" s="37"/>
      <c r="G287" s="2"/>
      <c r="H287" s="2"/>
      <c r="I287" s="38"/>
      <c r="J287" s="39"/>
    </row>
    <row r="288" spans="4:10" ht="12.75" customHeight="1" x14ac:dyDescent="0.3">
      <c r="D288" s="2"/>
      <c r="E288" s="36"/>
      <c r="F288" s="37"/>
      <c r="G288" s="2"/>
      <c r="H288" s="2"/>
      <c r="I288" s="38"/>
      <c r="J288" s="39"/>
    </row>
    <row r="289" spans="4:10" ht="12.75" customHeight="1" x14ac:dyDescent="0.3">
      <c r="D289" s="2"/>
      <c r="E289" s="36"/>
      <c r="F289" s="37"/>
      <c r="G289" s="2"/>
      <c r="H289" s="2"/>
      <c r="I289" s="38"/>
      <c r="J289" s="39"/>
    </row>
    <row r="290" spans="4:10" ht="12.75" customHeight="1" x14ac:dyDescent="0.3">
      <c r="D290" s="2"/>
      <c r="E290" s="36"/>
      <c r="F290" s="37"/>
      <c r="G290" s="2"/>
      <c r="H290" s="2"/>
      <c r="I290" s="38"/>
      <c r="J290" s="39"/>
    </row>
    <row r="291" spans="4:10" ht="12.75" customHeight="1" x14ac:dyDescent="0.3">
      <c r="D291" s="2"/>
      <c r="E291" s="36"/>
      <c r="F291" s="37"/>
      <c r="G291" s="2"/>
      <c r="H291" s="2"/>
      <c r="I291" s="38"/>
      <c r="J291" s="39"/>
    </row>
    <row r="292" spans="4:10" ht="12.75" customHeight="1" x14ac:dyDescent="0.3">
      <c r="D292" s="2"/>
      <c r="E292" s="36"/>
      <c r="F292" s="37"/>
      <c r="G292" s="2"/>
      <c r="H292" s="2"/>
      <c r="I292" s="38"/>
      <c r="J292" s="39"/>
    </row>
    <row r="293" spans="4:10" ht="12.75" customHeight="1" x14ac:dyDescent="0.3">
      <c r="D293" s="2"/>
      <c r="E293" s="36"/>
      <c r="F293" s="37"/>
      <c r="G293" s="2"/>
      <c r="H293" s="2"/>
      <c r="I293" s="38"/>
      <c r="J293" s="39"/>
    </row>
    <row r="294" spans="4:10" ht="12.75" customHeight="1" x14ac:dyDescent="0.3">
      <c r="D294" s="2"/>
      <c r="E294" s="36"/>
      <c r="F294" s="37"/>
      <c r="G294" s="2"/>
      <c r="H294" s="2"/>
      <c r="I294" s="38"/>
      <c r="J294" s="39"/>
    </row>
    <row r="295" spans="4:10" ht="12.75" customHeight="1" x14ac:dyDescent="0.3">
      <c r="D295" s="2"/>
      <c r="E295" s="36"/>
      <c r="F295" s="37"/>
      <c r="G295" s="2"/>
      <c r="H295" s="2"/>
      <c r="I295" s="38"/>
      <c r="J295" s="39"/>
    </row>
    <row r="296" spans="4:10" ht="12.75" customHeight="1" x14ac:dyDescent="0.3">
      <c r="D296" s="2"/>
      <c r="E296" s="36"/>
      <c r="F296" s="37"/>
      <c r="G296" s="2"/>
      <c r="H296" s="2"/>
      <c r="I296" s="38"/>
      <c r="J296" s="39"/>
    </row>
    <row r="297" spans="4:10" ht="12.75" customHeight="1" x14ac:dyDescent="0.3">
      <c r="D297" s="2"/>
      <c r="E297" s="36"/>
      <c r="F297" s="37"/>
      <c r="G297" s="2"/>
      <c r="H297" s="2"/>
      <c r="I297" s="38"/>
      <c r="J297" s="39"/>
    </row>
    <row r="298" spans="4:10" ht="12.75" customHeight="1" x14ac:dyDescent="0.3">
      <c r="D298" s="2"/>
      <c r="E298" s="36"/>
      <c r="F298" s="37"/>
      <c r="G298" s="2"/>
      <c r="H298" s="2"/>
      <c r="I298" s="38"/>
      <c r="J298" s="39"/>
    </row>
    <row r="299" spans="4:10" ht="12.75" customHeight="1" x14ac:dyDescent="0.3">
      <c r="D299" s="2"/>
      <c r="E299" s="36"/>
      <c r="F299" s="37"/>
      <c r="G299" s="2"/>
      <c r="H299" s="2"/>
      <c r="I299" s="38"/>
      <c r="J299" s="39"/>
    </row>
    <row r="300" spans="4:10" ht="12.75" customHeight="1" x14ac:dyDescent="0.3">
      <c r="D300" s="2"/>
      <c r="E300" s="36"/>
      <c r="F300" s="37"/>
      <c r="G300" s="2"/>
      <c r="H300" s="2"/>
      <c r="I300" s="38"/>
      <c r="J300" s="39"/>
    </row>
    <row r="301" spans="4:10" ht="12.75" customHeight="1" x14ac:dyDescent="0.3">
      <c r="D301" s="2"/>
      <c r="E301" s="36"/>
      <c r="F301" s="37"/>
      <c r="G301" s="2"/>
      <c r="H301" s="2"/>
      <c r="I301" s="38"/>
      <c r="J301" s="39"/>
    </row>
    <row r="302" spans="4:10" ht="12.75" customHeight="1" x14ac:dyDescent="0.3">
      <c r="D302" s="2"/>
      <c r="E302" s="36"/>
      <c r="F302" s="37"/>
      <c r="G302" s="2"/>
      <c r="H302" s="2"/>
      <c r="I302" s="38"/>
      <c r="J302" s="39"/>
    </row>
    <row r="303" spans="4:10" ht="12.75" customHeight="1" x14ac:dyDescent="0.3">
      <c r="D303" s="2"/>
      <c r="E303" s="36"/>
      <c r="F303" s="37"/>
      <c r="G303" s="2"/>
      <c r="H303" s="2"/>
      <c r="I303" s="38"/>
      <c r="J303" s="39"/>
    </row>
    <row r="304" spans="4:10" ht="12.75" customHeight="1" x14ac:dyDescent="0.3">
      <c r="D304" s="2"/>
      <c r="E304" s="36"/>
      <c r="F304" s="37"/>
      <c r="G304" s="2"/>
      <c r="H304" s="2"/>
      <c r="I304" s="38"/>
      <c r="J304" s="39"/>
    </row>
    <row r="305" spans="4:10" ht="12.75" customHeight="1" x14ac:dyDescent="0.3">
      <c r="D305" s="2"/>
      <c r="E305" s="36"/>
      <c r="F305" s="37"/>
      <c r="G305" s="2"/>
      <c r="H305" s="2"/>
      <c r="I305" s="38"/>
      <c r="J305" s="39"/>
    </row>
    <row r="306" spans="4:10" ht="12.75" customHeight="1" x14ac:dyDescent="0.3">
      <c r="D306" s="2"/>
      <c r="E306" s="36"/>
      <c r="F306" s="37"/>
      <c r="G306" s="2"/>
      <c r="H306" s="2"/>
      <c r="I306" s="38"/>
      <c r="J306" s="39"/>
    </row>
    <row r="307" spans="4:10" ht="12.75" customHeight="1" x14ac:dyDescent="0.3">
      <c r="D307" s="2"/>
      <c r="E307" s="36"/>
      <c r="F307" s="37"/>
      <c r="G307" s="2"/>
      <c r="H307" s="2"/>
      <c r="I307" s="38"/>
      <c r="J307" s="39"/>
    </row>
    <row r="308" spans="4:10" ht="12.75" customHeight="1" x14ac:dyDescent="0.3">
      <c r="D308" s="2"/>
      <c r="E308" s="36"/>
      <c r="F308" s="37"/>
      <c r="G308" s="2"/>
      <c r="H308" s="2"/>
      <c r="I308" s="38"/>
      <c r="J308" s="39"/>
    </row>
    <row r="309" spans="4:10" ht="12.75" customHeight="1" x14ac:dyDescent="0.3">
      <c r="D309" s="2"/>
      <c r="E309" s="36"/>
      <c r="F309" s="37"/>
      <c r="G309" s="2"/>
      <c r="H309" s="2"/>
      <c r="I309" s="38"/>
      <c r="J309" s="39"/>
    </row>
    <row r="310" spans="4:10" ht="12.75" customHeight="1" x14ac:dyDescent="0.3">
      <c r="D310" s="2"/>
      <c r="E310" s="36"/>
      <c r="F310" s="37"/>
      <c r="G310" s="2"/>
      <c r="H310" s="2"/>
      <c r="I310" s="38"/>
      <c r="J310" s="39"/>
    </row>
    <row r="311" spans="4:10" ht="12.75" customHeight="1" x14ac:dyDescent="0.3">
      <c r="D311" s="2"/>
      <c r="E311" s="36"/>
      <c r="F311" s="37"/>
      <c r="G311" s="2"/>
      <c r="H311" s="2"/>
      <c r="I311" s="38"/>
      <c r="J311" s="39"/>
    </row>
    <row r="312" spans="4:10" ht="12.75" customHeight="1" x14ac:dyDescent="0.3">
      <c r="D312" s="2"/>
      <c r="E312" s="36"/>
      <c r="F312" s="37"/>
      <c r="G312" s="2"/>
      <c r="H312" s="2"/>
      <c r="I312" s="38"/>
      <c r="J312" s="39"/>
    </row>
    <row r="313" spans="4:10" ht="12.75" customHeight="1" x14ac:dyDescent="0.3">
      <c r="D313" s="2"/>
      <c r="E313" s="36"/>
      <c r="F313" s="37"/>
      <c r="G313" s="2"/>
      <c r="H313" s="2"/>
      <c r="I313" s="38"/>
      <c r="J313" s="39"/>
    </row>
    <row r="314" spans="4:10" ht="12.75" customHeight="1" x14ac:dyDescent="0.3">
      <c r="D314" s="2"/>
      <c r="E314" s="36"/>
      <c r="F314" s="37"/>
      <c r="G314" s="2"/>
      <c r="H314" s="2"/>
      <c r="I314" s="38"/>
      <c r="J314" s="39"/>
    </row>
    <row r="315" spans="4:10" ht="12.75" customHeight="1" x14ac:dyDescent="0.3">
      <c r="D315" s="2"/>
      <c r="E315" s="36"/>
      <c r="F315" s="37"/>
      <c r="G315" s="2"/>
      <c r="H315" s="2"/>
      <c r="I315" s="38"/>
      <c r="J315" s="39"/>
    </row>
    <row r="316" spans="4:10" ht="12.75" customHeight="1" x14ac:dyDescent="0.3">
      <c r="D316" s="2"/>
      <c r="E316" s="36"/>
      <c r="F316" s="37"/>
      <c r="G316" s="2"/>
      <c r="H316" s="2"/>
      <c r="I316" s="38"/>
      <c r="J316" s="39"/>
    </row>
    <row r="317" spans="4:10" ht="12.75" customHeight="1" x14ac:dyDescent="0.3">
      <c r="D317" s="2"/>
      <c r="E317" s="36"/>
      <c r="F317" s="37"/>
      <c r="G317" s="2"/>
      <c r="H317" s="2"/>
      <c r="I317" s="38"/>
      <c r="J317" s="39"/>
    </row>
    <row r="318" spans="4:10" ht="12.75" customHeight="1" x14ac:dyDescent="0.3">
      <c r="D318" s="2"/>
      <c r="E318" s="36"/>
      <c r="F318" s="37"/>
      <c r="G318" s="2"/>
      <c r="H318" s="2"/>
      <c r="I318" s="38"/>
      <c r="J318" s="39"/>
    </row>
    <row r="319" spans="4:10" ht="12.75" customHeight="1" x14ac:dyDescent="0.3">
      <c r="D319" s="2"/>
      <c r="E319" s="36"/>
      <c r="F319" s="37"/>
      <c r="G319" s="2"/>
      <c r="H319" s="2"/>
      <c r="I319" s="38"/>
      <c r="J319" s="39"/>
    </row>
    <row r="320" spans="4:10" ht="12.75" customHeight="1" x14ac:dyDescent="0.3">
      <c r="D320" s="2"/>
      <c r="E320" s="36"/>
      <c r="F320" s="37"/>
      <c r="G320" s="2"/>
      <c r="H320" s="2"/>
      <c r="I320" s="38"/>
      <c r="J320" s="39"/>
    </row>
    <row r="321" spans="4:10" ht="12.75" customHeight="1" x14ac:dyDescent="0.3">
      <c r="D321" s="2"/>
      <c r="E321" s="36"/>
      <c r="F321" s="37"/>
      <c r="G321" s="2"/>
      <c r="H321" s="2"/>
      <c r="I321" s="38"/>
      <c r="J321" s="39"/>
    </row>
    <row r="322" spans="4:10" ht="12.75" customHeight="1" x14ac:dyDescent="0.3">
      <c r="D322" s="2"/>
      <c r="E322" s="36"/>
      <c r="F322" s="37"/>
      <c r="G322" s="2"/>
      <c r="H322" s="2"/>
      <c r="I322" s="38"/>
      <c r="J322" s="39"/>
    </row>
    <row r="323" spans="4:10" ht="12.75" customHeight="1" x14ac:dyDescent="0.3">
      <c r="D323" s="2"/>
      <c r="E323" s="36"/>
      <c r="F323" s="37"/>
      <c r="G323" s="2"/>
      <c r="H323" s="2"/>
      <c r="I323" s="38"/>
      <c r="J323" s="39"/>
    </row>
    <row r="324" spans="4:10" ht="12.75" customHeight="1" x14ac:dyDescent="0.3">
      <c r="D324" s="2"/>
      <c r="E324" s="36"/>
      <c r="F324" s="37"/>
      <c r="G324" s="2"/>
      <c r="H324" s="2"/>
      <c r="I324" s="38"/>
      <c r="J324" s="39"/>
    </row>
    <row r="325" spans="4:10" ht="12.75" customHeight="1" x14ac:dyDescent="0.3">
      <c r="D325" s="2"/>
      <c r="E325" s="36"/>
      <c r="F325" s="37"/>
      <c r="G325" s="2"/>
      <c r="H325" s="2"/>
      <c r="I325" s="38"/>
      <c r="J325" s="39"/>
    </row>
    <row r="326" spans="4:10" ht="12.75" customHeight="1" x14ac:dyDescent="0.3">
      <c r="D326" s="2"/>
      <c r="E326" s="36"/>
      <c r="F326" s="37"/>
      <c r="G326" s="2"/>
      <c r="H326" s="2"/>
      <c r="I326" s="38"/>
      <c r="J326" s="39"/>
    </row>
    <row r="327" spans="4:10" ht="12.75" customHeight="1" x14ac:dyDescent="0.3">
      <c r="D327" s="2"/>
      <c r="E327" s="36"/>
      <c r="F327" s="37"/>
      <c r="G327" s="2"/>
      <c r="H327" s="2"/>
      <c r="I327" s="38"/>
      <c r="J327" s="39"/>
    </row>
    <row r="328" spans="4:10" ht="12.75" customHeight="1" x14ac:dyDescent="0.3">
      <c r="D328" s="2"/>
      <c r="E328" s="36"/>
      <c r="F328" s="37"/>
      <c r="G328" s="2"/>
      <c r="H328" s="2"/>
      <c r="I328" s="38"/>
      <c r="J328" s="39"/>
    </row>
    <row r="329" spans="4:10" ht="12.75" customHeight="1" x14ac:dyDescent="0.3">
      <c r="D329" s="2"/>
      <c r="E329" s="36"/>
      <c r="F329" s="37"/>
      <c r="G329" s="2"/>
      <c r="H329" s="2"/>
      <c r="I329" s="38"/>
      <c r="J329" s="39"/>
    </row>
    <row r="330" spans="4:10" ht="12.75" customHeight="1" x14ac:dyDescent="0.3">
      <c r="D330" s="2"/>
      <c r="E330" s="36"/>
      <c r="F330" s="37"/>
      <c r="G330" s="2"/>
      <c r="H330" s="2"/>
      <c r="I330" s="38"/>
      <c r="J330" s="39"/>
    </row>
    <row r="331" spans="4:10" ht="12.75" customHeight="1" x14ac:dyDescent="0.3">
      <c r="D331" s="2"/>
      <c r="E331" s="36"/>
      <c r="F331" s="37"/>
      <c r="G331" s="2"/>
      <c r="H331" s="2"/>
      <c r="I331" s="38"/>
      <c r="J331" s="39"/>
    </row>
    <row r="332" spans="4:10" ht="12.75" customHeight="1" x14ac:dyDescent="0.3">
      <c r="D332" s="2"/>
      <c r="E332" s="36"/>
      <c r="F332" s="37"/>
      <c r="G332" s="2"/>
      <c r="H332" s="2"/>
      <c r="I332" s="38"/>
      <c r="J332" s="39"/>
    </row>
    <row r="333" spans="4:10" ht="12.75" customHeight="1" x14ac:dyDescent="0.3">
      <c r="D333" s="2"/>
      <c r="E333" s="36"/>
      <c r="F333" s="37"/>
      <c r="G333" s="2"/>
      <c r="H333" s="2"/>
      <c r="I333" s="38"/>
      <c r="J333" s="39"/>
    </row>
    <row r="334" spans="4:10" ht="12.75" customHeight="1" x14ac:dyDescent="0.3">
      <c r="D334" s="2"/>
      <c r="E334" s="36"/>
      <c r="F334" s="37"/>
      <c r="G334" s="2"/>
      <c r="H334" s="2"/>
      <c r="I334" s="38"/>
      <c r="J334" s="39"/>
    </row>
    <row r="335" spans="4:10" ht="12.75" customHeight="1" x14ac:dyDescent="0.3">
      <c r="D335" s="2"/>
      <c r="E335" s="36"/>
      <c r="F335" s="37"/>
      <c r="G335" s="2"/>
      <c r="H335" s="2"/>
      <c r="I335" s="38"/>
      <c r="J335" s="39"/>
    </row>
    <row r="336" spans="4:10" ht="12.75" customHeight="1" x14ac:dyDescent="0.3">
      <c r="D336" s="2"/>
      <c r="E336" s="36"/>
      <c r="F336" s="37"/>
      <c r="G336" s="2"/>
      <c r="H336" s="2"/>
      <c r="I336" s="38"/>
      <c r="J336" s="39"/>
    </row>
    <row r="337" spans="4:10" ht="12.75" customHeight="1" x14ac:dyDescent="0.3">
      <c r="D337" s="2"/>
      <c r="E337" s="36"/>
      <c r="F337" s="37"/>
      <c r="G337" s="2"/>
      <c r="H337" s="2"/>
      <c r="I337" s="38"/>
      <c r="J337" s="39"/>
    </row>
    <row r="338" spans="4:10" ht="12.75" customHeight="1" x14ac:dyDescent="0.3">
      <c r="D338" s="2"/>
      <c r="E338" s="36"/>
      <c r="F338" s="37"/>
      <c r="G338" s="2"/>
      <c r="H338" s="2"/>
      <c r="I338" s="38"/>
      <c r="J338" s="39"/>
    </row>
    <row r="339" spans="4:10" ht="12.75" customHeight="1" x14ac:dyDescent="0.3">
      <c r="D339" s="2"/>
      <c r="E339" s="36"/>
      <c r="F339" s="37"/>
      <c r="G339" s="2"/>
      <c r="H339" s="2"/>
      <c r="I339" s="38"/>
      <c r="J339" s="39"/>
    </row>
    <row r="340" spans="4:10" ht="12.75" customHeight="1" x14ac:dyDescent="0.3">
      <c r="D340" s="2"/>
      <c r="E340" s="36"/>
      <c r="F340" s="37"/>
      <c r="G340" s="2"/>
      <c r="H340" s="2"/>
      <c r="I340" s="38"/>
      <c r="J340" s="39"/>
    </row>
    <row r="341" spans="4:10" ht="12.75" customHeight="1" x14ac:dyDescent="0.3">
      <c r="D341" s="2"/>
      <c r="E341" s="36"/>
      <c r="F341" s="37"/>
      <c r="G341" s="2"/>
      <c r="H341" s="2"/>
      <c r="I341" s="38"/>
      <c r="J341" s="39"/>
    </row>
    <row r="342" spans="4:10" ht="12.75" customHeight="1" x14ac:dyDescent="0.3">
      <c r="D342" s="2"/>
      <c r="E342" s="36"/>
      <c r="F342" s="37"/>
      <c r="G342" s="2"/>
      <c r="H342" s="2"/>
      <c r="I342" s="38"/>
      <c r="J342" s="39"/>
    </row>
    <row r="343" spans="4:10" ht="12.75" customHeight="1" x14ac:dyDescent="0.3">
      <c r="D343" s="2"/>
      <c r="E343" s="36"/>
      <c r="F343" s="37"/>
      <c r="G343" s="2"/>
      <c r="H343" s="2"/>
      <c r="I343" s="38"/>
      <c r="J343" s="39"/>
    </row>
    <row r="344" spans="4:10" ht="12.75" customHeight="1" x14ac:dyDescent="0.3">
      <c r="D344" s="2"/>
      <c r="E344" s="36"/>
      <c r="F344" s="37"/>
      <c r="G344" s="2"/>
      <c r="H344" s="2"/>
      <c r="I344" s="38"/>
      <c r="J344" s="39"/>
    </row>
    <row r="345" spans="4:10" ht="12.75" customHeight="1" x14ac:dyDescent="0.3">
      <c r="D345" s="2"/>
      <c r="E345" s="36"/>
      <c r="F345" s="37"/>
      <c r="G345" s="2"/>
      <c r="H345" s="2"/>
      <c r="I345" s="38"/>
      <c r="J345" s="39"/>
    </row>
    <row r="346" spans="4:10" ht="12.75" customHeight="1" x14ac:dyDescent="0.3">
      <c r="D346" s="2"/>
      <c r="E346" s="36"/>
      <c r="F346" s="37"/>
      <c r="G346" s="2"/>
      <c r="H346" s="2"/>
      <c r="I346" s="38"/>
      <c r="J346" s="39"/>
    </row>
    <row r="347" spans="4:10" ht="12.75" customHeight="1" x14ac:dyDescent="0.3">
      <c r="D347" s="2"/>
      <c r="E347" s="36"/>
      <c r="F347" s="37"/>
      <c r="G347" s="2"/>
      <c r="H347" s="2"/>
      <c r="I347" s="38"/>
      <c r="J347" s="39"/>
    </row>
    <row r="348" spans="4:10" ht="12.75" customHeight="1" x14ac:dyDescent="0.3">
      <c r="D348" s="2"/>
      <c r="E348" s="36"/>
      <c r="F348" s="37"/>
      <c r="G348" s="2"/>
      <c r="H348" s="2"/>
      <c r="I348" s="38"/>
      <c r="J348" s="39"/>
    </row>
    <row r="349" spans="4:10" ht="12.75" customHeight="1" x14ac:dyDescent="0.3">
      <c r="D349" s="2"/>
      <c r="E349" s="36"/>
      <c r="F349" s="37"/>
      <c r="G349" s="2"/>
      <c r="H349" s="2"/>
      <c r="I349" s="38"/>
      <c r="J349" s="39"/>
    </row>
    <row r="350" spans="4:10" ht="12.75" customHeight="1" x14ac:dyDescent="0.3">
      <c r="D350" s="2"/>
      <c r="E350" s="36"/>
      <c r="F350" s="37"/>
      <c r="G350" s="2"/>
      <c r="H350" s="2"/>
      <c r="I350" s="38"/>
      <c r="J350" s="39"/>
    </row>
    <row r="351" spans="4:10" ht="12.75" customHeight="1" x14ac:dyDescent="0.3">
      <c r="D351" s="2"/>
      <c r="E351" s="36"/>
      <c r="F351" s="37"/>
      <c r="G351" s="2"/>
      <c r="H351" s="2"/>
      <c r="I351" s="38"/>
      <c r="J351" s="39"/>
    </row>
    <row r="352" spans="4:10" ht="12.75" customHeight="1" x14ac:dyDescent="0.3">
      <c r="D352" s="2"/>
      <c r="E352" s="36"/>
      <c r="F352" s="37"/>
      <c r="G352" s="2"/>
      <c r="H352" s="2"/>
      <c r="I352" s="38"/>
      <c r="J352" s="39"/>
    </row>
    <row r="353" spans="4:10" ht="12.75" customHeight="1" x14ac:dyDescent="0.3">
      <c r="D353" s="2"/>
      <c r="E353" s="36"/>
      <c r="F353" s="37"/>
      <c r="G353" s="2"/>
      <c r="H353" s="2"/>
      <c r="I353" s="38"/>
      <c r="J353" s="39"/>
    </row>
    <row r="354" spans="4:10" ht="12.75" customHeight="1" x14ac:dyDescent="0.3">
      <c r="D354" s="2"/>
      <c r="E354" s="36"/>
      <c r="F354" s="37"/>
      <c r="G354" s="2"/>
      <c r="H354" s="2"/>
      <c r="I354" s="38"/>
      <c r="J354" s="39"/>
    </row>
    <row r="355" spans="4:10" ht="12.75" customHeight="1" x14ac:dyDescent="0.3">
      <c r="D355" s="2"/>
      <c r="E355" s="36"/>
      <c r="F355" s="37"/>
      <c r="G355" s="2"/>
      <c r="H355" s="2"/>
      <c r="I355" s="38"/>
      <c r="J355" s="39"/>
    </row>
    <row r="356" spans="4:10" ht="12.75" customHeight="1" x14ac:dyDescent="0.3">
      <c r="D356" s="2"/>
      <c r="E356" s="36"/>
      <c r="F356" s="37"/>
      <c r="G356" s="2"/>
      <c r="H356" s="2"/>
      <c r="I356" s="38"/>
      <c r="J356" s="39"/>
    </row>
    <row r="357" spans="4:10" ht="12.75" customHeight="1" x14ac:dyDescent="0.3">
      <c r="D357" s="2"/>
      <c r="E357" s="36"/>
      <c r="F357" s="37"/>
      <c r="G357" s="2"/>
      <c r="H357" s="2"/>
      <c r="I357" s="38"/>
      <c r="J357" s="39"/>
    </row>
    <row r="358" spans="4:10" ht="12.75" customHeight="1" x14ac:dyDescent="0.3">
      <c r="D358" s="2"/>
      <c r="E358" s="36"/>
      <c r="F358" s="37"/>
      <c r="G358" s="2"/>
      <c r="H358" s="2"/>
      <c r="I358" s="38"/>
      <c r="J358" s="39"/>
    </row>
    <row r="359" spans="4:10" ht="12.75" customHeight="1" x14ac:dyDescent="0.3">
      <c r="D359" s="2"/>
      <c r="E359" s="36"/>
      <c r="F359" s="37"/>
      <c r="G359" s="2"/>
      <c r="H359" s="2"/>
      <c r="I359" s="38"/>
      <c r="J359" s="39"/>
    </row>
    <row r="360" spans="4:10" ht="12.75" customHeight="1" x14ac:dyDescent="0.3">
      <c r="D360" s="2"/>
      <c r="E360" s="36"/>
      <c r="F360" s="37"/>
      <c r="G360" s="2"/>
      <c r="H360" s="2"/>
      <c r="I360" s="38"/>
      <c r="J360" s="39"/>
    </row>
    <row r="361" spans="4:10" ht="12.75" customHeight="1" x14ac:dyDescent="0.3">
      <c r="D361" s="2"/>
      <c r="E361" s="36"/>
      <c r="F361" s="37"/>
      <c r="G361" s="2"/>
      <c r="H361" s="2"/>
      <c r="I361" s="38"/>
      <c r="J361" s="39"/>
    </row>
    <row r="362" spans="4:10" ht="12.75" customHeight="1" x14ac:dyDescent="0.3">
      <c r="D362" s="2"/>
      <c r="E362" s="36"/>
      <c r="F362" s="37"/>
      <c r="G362" s="2"/>
      <c r="H362" s="2"/>
      <c r="I362" s="38"/>
      <c r="J362" s="39"/>
    </row>
    <row r="363" spans="4:10" ht="12.75" customHeight="1" x14ac:dyDescent="0.3">
      <c r="D363" s="2"/>
      <c r="E363" s="36"/>
      <c r="F363" s="37"/>
      <c r="G363" s="2"/>
      <c r="H363" s="2"/>
      <c r="I363" s="38"/>
      <c r="J363" s="39"/>
    </row>
    <row r="364" spans="4:10" ht="12.75" customHeight="1" x14ac:dyDescent="0.3">
      <c r="D364" s="2"/>
      <c r="E364" s="36"/>
      <c r="F364" s="37"/>
      <c r="G364" s="2"/>
      <c r="H364" s="2"/>
      <c r="I364" s="38"/>
      <c r="J364" s="39"/>
    </row>
    <row r="365" spans="4:10" ht="12.75" customHeight="1" x14ac:dyDescent="0.3">
      <c r="D365" s="2"/>
      <c r="E365" s="36"/>
      <c r="F365" s="37"/>
      <c r="G365" s="2"/>
      <c r="H365" s="2"/>
      <c r="I365" s="38"/>
      <c r="J365" s="39"/>
    </row>
    <row r="366" spans="4:10" ht="12.75" customHeight="1" x14ac:dyDescent="0.3">
      <c r="D366" s="2"/>
      <c r="E366" s="36"/>
      <c r="F366" s="37"/>
      <c r="G366" s="2"/>
      <c r="H366" s="2"/>
      <c r="I366" s="38"/>
      <c r="J366" s="39"/>
    </row>
    <row r="367" spans="4:10" ht="12.75" customHeight="1" x14ac:dyDescent="0.3">
      <c r="D367" s="2"/>
      <c r="E367" s="36"/>
      <c r="F367" s="37"/>
      <c r="G367" s="2"/>
      <c r="H367" s="2"/>
      <c r="I367" s="38"/>
      <c r="J367" s="39"/>
    </row>
    <row r="368" spans="4:10" ht="12.75" customHeight="1" x14ac:dyDescent="0.3">
      <c r="D368" s="2"/>
      <c r="E368" s="36"/>
      <c r="F368" s="37"/>
      <c r="G368" s="2"/>
      <c r="H368" s="2"/>
      <c r="I368" s="38"/>
      <c r="J368" s="39"/>
    </row>
    <row r="369" spans="4:10" ht="12.75" customHeight="1" x14ac:dyDescent="0.3">
      <c r="D369" s="2"/>
      <c r="E369" s="36"/>
      <c r="F369" s="37"/>
      <c r="G369" s="2"/>
      <c r="H369" s="2"/>
      <c r="I369" s="38"/>
      <c r="J369" s="39"/>
    </row>
    <row r="370" spans="4:10" ht="12.75" customHeight="1" x14ac:dyDescent="0.3">
      <c r="D370" s="2"/>
      <c r="E370" s="36"/>
      <c r="F370" s="37"/>
      <c r="G370" s="2"/>
      <c r="H370" s="2"/>
      <c r="I370" s="38"/>
      <c r="J370" s="39"/>
    </row>
    <row r="371" spans="4:10" ht="12.75" customHeight="1" x14ac:dyDescent="0.3">
      <c r="D371" s="2"/>
      <c r="E371" s="36"/>
      <c r="F371" s="37"/>
      <c r="G371" s="2"/>
      <c r="H371" s="2"/>
      <c r="I371" s="38"/>
      <c r="J371" s="39"/>
    </row>
    <row r="372" spans="4:10" ht="12.75" customHeight="1" x14ac:dyDescent="0.3">
      <c r="D372" s="2"/>
      <c r="E372" s="36"/>
      <c r="F372" s="37"/>
      <c r="G372" s="2"/>
      <c r="H372" s="2"/>
      <c r="I372" s="38"/>
      <c r="J372" s="39"/>
    </row>
    <row r="373" spans="4:10" ht="12.75" customHeight="1" x14ac:dyDescent="0.3">
      <c r="D373" s="2"/>
      <c r="E373" s="36"/>
      <c r="F373" s="37"/>
      <c r="G373" s="2"/>
      <c r="H373" s="2"/>
      <c r="I373" s="38"/>
      <c r="J373" s="39"/>
    </row>
    <row r="374" spans="4:10" ht="12.75" customHeight="1" x14ac:dyDescent="0.3">
      <c r="D374" s="2"/>
      <c r="E374" s="36"/>
      <c r="F374" s="37"/>
      <c r="G374" s="2"/>
      <c r="H374" s="2"/>
      <c r="I374" s="38"/>
      <c r="J374" s="39"/>
    </row>
    <row r="375" spans="4:10" ht="12.75" customHeight="1" x14ac:dyDescent="0.3">
      <c r="D375" s="2"/>
      <c r="E375" s="36"/>
      <c r="F375" s="37"/>
      <c r="G375" s="2"/>
      <c r="H375" s="2"/>
      <c r="I375" s="38"/>
      <c r="J375" s="39"/>
    </row>
    <row r="376" spans="4:10" ht="12.75" customHeight="1" x14ac:dyDescent="0.3">
      <c r="D376" s="2"/>
      <c r="E376" s="36"/>
      <c r="F376" s="37"/>
      <c r="G376" s="2"/>
      <c r="H376" s="2"/>
      <c r="I376" s="38"/>
      <c r="J376" s="39"/>
    </row>
    <row r="377" spans="4:10" ht="12.75" customHeight="1" x14ac:dyDescent="0.3">
      <c r="D377" s="2"/>
      <c r="E377" s="36"/>
      <c r="F377" s="37"/>
      <c r="G377" s="2"/>
      <c r="H377" s="2"/>
      <c r="I377" s="38"/>
      <c r="J377" s="39"/>
    </row>
    <row r="378" spans="4:10" ht="12.75" customHeight="1" x14ac:dyDescent="0.3">
      <c r="D378" s="2"/>
      <c r="E378" s="36"/>
      <c r="F378" s="37"/>
      <c r="G378" s="2"/>
      <c r="H378" s="2"/>
      <c r="I378" s="38"/>
      <c r="J378" s="39"/>
    </row>
    <row r="379" spans="4:10" ht="12.75" customHeight="1" x14ac:dyDescent="0.3">
      <c r="D379" s="2"/>
      <c r="E379" s="36"/>
      <c r="F379" s="37"/>
      <c r="G379" s="2"/>
      <c r="H379" s="2"/>
      <c r="I379" s="38"/>
      <c r="J379" s="39"/>
    </row>
    <row r="380" spans="4:10" ht="12.75" customHeight="1" x14ac:dyDescent="0.3">
      <c r="D380" s="2"/>
      <c r="E380" s="36"/>
      <c r="F380" s="37"/>
      <c r="G380" s="2"/>
      <c r="H380" s="2"/>
      <c r="I380" s="38"/>
      <c r="J380" s="39"/>
    </row>
    <row r="381" spans="4:10" ht="12.75" customHeight="1" x14ac:dyDescent="0.3">
      <c r="D381" s="2"/>
      <c r="E381" s="36"/>
      <c r="F381" s="37"/>
      <c r="G381" s="2"/>
      <c r="H381" s="2"/>
      <c r="I381" s="38"/>
      <c r="J381" s="39"/>
    </row>
    <row r="382" spans="4:10" ht="12.75" customHeight="1" x14ac:dyDescent="0.3">
      <c r="D382" s="2"/>
      <c r="E382" s="36"/>
      <c r="F382" s="37"/>
      <c r="G382" s="2"/>
      <c r="H382" s="2"/>
      <c r="I382" s="38"/>
      <c r="J382" s="39"/>
    </row>
    <row r="383" spans="4:10" ht="12.75" customHeight="1" x14ac:dyDescent="0.3">
      <c r="D383" s="2"/>
      <c r="E383" s="36"/>
      <c r="F383" s="37"/>
      <c r="G383" s="2"/>
      <c r="H383" s="2"/>
      <c r="I383" s="38"/>
      <c r="J383" s="39"/>
    </row>
    <row r="384" spans="4:10" ht="12.75" customHeight="1" x14ac:dyDescent="0.3">
      <c r="D384" s="2"/>
      <c r="E384" s="36"/>
      <c r="F384" s="37"/>
      <c r="G384" s="2"/>
      <c r="H384" s="2"/>
      <c r="I384" s="38"/>
      <c r="J384" s="39"/>
    </row>
    <row r="385" spans="4:10" ht="12.75" customHeight="1" x14ac:dyDescent="0.3">
      <c r="D385" s="2"/>
      <c r="E385" s="36"/>
      <c r="F385" s="37"/>
      <c r="G385" s="2"/>
      <c r="H385" s="2"/>
      <c r="I385" s="38"/>
      <c r="J385" s="39"/>
    </row>
    <row r="386" spans="4:10" ht="12.75" customHeight="1" x14ac:dyDescent="0.3">
      <c r="D386" s="2"/>
      <c r="E386" s="36"/>
      <c r="F386" s="37"/>
      <c r="G386" s="2"/>
      <c r="H386" s="2"/>
      <c r="I386" s="38"/>
      <c r="J386" s="39"/>
    </row>
    <row r="387" spans="4:10" ht="12.75" customHeight="1" x14ac:dyDescent="0.3">
      <c r="D387" s="2"/>
      <c r="E387" s="36"/>
      <c r="F387" s="37"/>
      <c r="G387" s="2"/>
      <c r="H387" s="2"/>
      <c r="I387" s="38"/>
      <c r="J387" s="39"/>
    </row>
    <row r="388" spans="4:10" ht="12.75" customHeight="1" x14ac:dyDescent="0.3">
      <c r="D388" s="2"/>
      <c r="E388" s="36"/>
      <c r="F388" s="37"/>
      <c r="G388" s="2"/>
      <c r="H388" s="2"/>
      <c r="I388" s="38"/>
      <c r="J388" s="39"/>
    </row>
    <row r="389" spans="4:10" ht="12.75" customHeight="1" x14ac:dyDescent="0.3">
      <c r="D389" s="2"/>
      <c r="E389" s="36"/>
      <c r="F389" s="37"/>
      <c r="G389" s="2"/>
      <c r="H389" s="2"/>
      <c r="I389" s="38"/>
      <c r="J389" s="39"/>
    </row>
    <row r="390" spans="4:10" ht="12.75" customHeight="1" x14ac:dyDescent="0.3">
      <c r="D390" s="2"/>
      <c r="E390" s="36"/>
      <c r="F390" s="37"/>
      <c r="G390" s="2"/>
      <c r="H390" s="2"/>
      <c r="I390" s="38"/>
      <c r="J390" s="39"/>
    </row>
    <row r="391" spans="4:10" ht="12.75" customHeight="1" x14ac:dyDescent="0.3">
      <c r="D391" s="2"/>
      <c r="E391" s="36"/>
      <c r="F391" s="37"/>
      <c r="G391" s="2"/>
      <c r="H391" s="2"/>
      <c r="I391" s="38"/>
      <c r="J391" s="39"/>
    </row>
    <row r="392" spans="4:10" ht="12.75" customHeight="1" x14ac:dyDescent="0.3">
      <c r="D392" s="2"/>
      <c r="E392" s="36"/>
      <c r="F392" s="37"/>
      <c r="G392" s="2"/>
      <c r="H392" s="2"/>
      <c r="I392" s="38"/>
      <c r="J392" s="39"/>
    </row>
    <row r="393" spans="4:10" ht="12.75" customHeight="1" x14ac:dyDescent="0.3">
      <c r="D393" s="2"/>
      <c r="E393" s="36"/>
      <c r="F393" s="37"/>
      <c r="G393" s="2"/>
      <c r="H393" s="2"/>
      <c r="I393" s="38"/>
      <c r="J393" s="39"/>
    </row>
    <row r="394" spans="4:10" ht="12.75" customHeight="1" x14ac:dyDescent="0.3">
      <c r="D394" s="2"/>
      <c r="E394" s="36"/>
      <c r="F394" s="37"/>
      <c r="G394" s="2"/>
      <c r="H394" s="2"/>
      <c r="I394" s="38"/>
      <c r="J394" s="39"/>
    </row>
    <row r="395" spans="4:10" ht="12.75" customHeight="1" x14ac:dyDescent="0.3">
      <c r="D395" s="2"/>
      <c r="E395" s="36"/>
      <c r="F395" s="37"/>
      <c r="G395" s="2"/>
      <c r="H395" s="2"/>
      <c r="I395" s="38"/>
      <c r="J395" s="39"/>
    </row>
    <row r="396" spans="4:10" ht="12.75" customHeight="1" x14ac:dyDescent="0.3">
      <c r="D396" s="2"/>
      <c r="E396" s="36"/>
      <c r="F396" s="37"/>
      <c r="G396" s="2"/>
      <c r="H396" s="2"/>
      <c r="I396" s="38"/>
      <c r="J396" s="39"/>
    </row>
    <row r="397" spans="4:10" ht="12.75" customHeight="1" x14ac:dyDescent="0.3">
      <c r="D397" s="2"/>
      <c r="E397" s="36"/>
      <c r="F397" s="37"/>
      <c r="G397" s="2"/>
      <c r="H397" s="2"/>
      <c r="I397" s="38"/>
      <c r="J397" s="39"/>
    </row>
    <row r="398" spans="4:10" ht="12.75" customHeight="1" x14ac:dyDescent="0.3">
      <c r="D398" s="2"/>
      <c r="E398" s="36"/>
      <c r="F398" s="37"/>
      <c r="G398" s="2"/>
      <c r="H398" s="2"/>
      <c r="I398" s="38"/>
      <c r="J398" s="39"/>
    </row>
    <row r="399" spans="4:10" ht="12.75" customHeight="1" x14ac:dyDescent="0.3">
      <c r="D399" s="2"/>
      <c r="E399" s="36"/>
      <c r="F399" s="37"/>
      <c r="G399" s="2"/>
      <c r="H399" s="2"/>
      <c r="I399" s="38"/>
      <c r="J399" s="39"/>
    </row>
    <row r="400" spans="4:10" ht="12.75" customHeight="1" x14ac:dyDescent="0.3">
      <c r="D400" s="2"/>
      <c r="E400" s="36"/>
      <c r="F400" s="37"/>
      <c r="G400" s="2"/>
      <c r="H400" s="2"/>
      <c r="I400" s="38"/>
      <c r="J400" s="39"/>
    </row>
    <row r="401" spans="4:10" ht="12.75" customHeight="1" x14ac:dyDescent="0.3">
      <c r="D401" s="2"/>
      <c r="E401" s="36"/>
      <c r="F401" s="37"/>
      <c r="G401" s="2"/>
      <c r="H401" s="2"/>
      <c r="I401" s="38"/>
      <c r="J401" s="39"/>
    </row>
    <row r="402" spans="4:10" ht="12.75" customHeight="1" x14ac:dyDescent="0.3">
      <c r="D402" s="2"/>
      <c r="E402" s="36"/>
      <c r="F402" s="37"/>
      <c r="G402" s="2"/>
      <c r="H402" s="2"/>
      <c r="I402" s="38"/>
      <c r="J402" s="39"/>
    </row>
    <row r="403" spans="4:10" ht="12.75" customHeight="1" x14ac:dyDescent="0.3">
      <c r="D403" s="2"/>
      <c r="E403" s="36"/>
      <c r="F403" s="37"/>
      <c r="G403" s="2"/>
      <c r="H403" s="2"/>
      <c r="I403" s="38"/>
      <c r="J403" s="39"/>
    </row>
    <row r="404" spans="4:10" ht="12.75" customHeight="1" x14ac:dyDescent="0.3">
      <c r="D404" s="2"/>
      <c r="E404" s="36"/>
      <c r="F404" s="37"/>
      <c r="G404" s="2"/>
      <c r="H404" s="2"/>
      <c r="I404" s="38"/>
      <c r="J404" s="39"/>
    </row>
    <row r="405" spans="4:10" ht="12.75" customHeight="1" x14ac:dyDescent="0.3">
      <c r="D405" s="2"/>
      <c r="E405" s="36"/>
      <c r="F405" s="37"/>
      <c r="G405" s="2"/>
      <c r="H405" s="2"/>
      <c r="I405" s="38"/>
      <c r="J405" s="39"/>
    </row>
    <row r="406" spans="4:10" ht="12.75" customHeight="1" x14ac:dyDescent="0.3">
      <c r="D406" s="2"/>
      <c r="E406" s="36"/>
      <c r="F406" s="37"/>
      <c r="G406" s="2"/>
      <c r="H406" s="2"/>
      <c r="I406" s="38"/>
      <c r="J406" s="39"/>
    </row>
    <row r="407" spans="4:10" ht="12.75" customHeight="1" x14ac:dyDescent="0.3">
      <c r="D407" s="2"/>
      <c r="E407" s="36"/>
      <c r="F407" s="37"/>
      <c r="G407" s="2"/>
      <c r="H407" s="2"/>
      <c r="I407" s="38"/>
      <c r="J407" s="39"/>
    </row>
    <row r="408" spans="4:10" ht="12.75" customHeight="1" x14ac:dyDescent="0.3">
      <c r="D408" s="2"/>
      <c r="E408" s="36"/>
      <c r="F408" s="37"/>
      <c r="G408" s="2"/>
      <c r="H408" s="2"/>
      <c r="I408" s="38"/>
      <c r="J408" s="39"/>
    </row>
    <row r="409" spans="4:10" ht="12.75" customHeight="1" x14ac:dyDescent="0.3">
      <c r="D409" s="2"/>
      <c r="E409" s="36"/>
      <c r="F409" s="37"/>
      <c r="G409" s="2"/>
      <c r="H409" s="2"/>
      <c r="I409" s="38"/>
      <c r="J409" s="39"/>
    </row>
    <row r="410" spans="4:10" ht="12.75" customHeight="1" x14ac:dyDescent="0.3">
      <c r="D410" s="2"/>
      <c r="E410" s="36"/>
      <c r="F410" s="37"/>
      <c r="G410" s="2"/>
      <c r="H410" s="2"/>
      <c r="I410" s="38"/>
      <c r="J410" s="39"/>
    </row>
    <row r="411" spans="4:10" ht="12.75" customHeight="1" x14ac:dyDescent="0.3">
      <c r="D411" s="2"/>
      <c r="E411" s="36"/>
      <c r="F411" s="37"/>
      <c r="G411" s="2"/>
      <c r="H411" s="2"/>
      <c r="I411" s="38"/>
      <c r="J411" s="39"/>
    </row>
    <row r="412" spans="4:10" ht="12.75" customHeight="1" x14ac:dyDescent="0.3">
      <c r="D412" s="2"/>
      <c r="E412" s="36"/>
      <c r="F412" s="37"/>
      <c r="G412" s="2"/>
      <c r="H412" s="2"/>
      <c r="I412" s="38"/>
      <c r="J412" s="39"/>
    </row>
    <row r="413" spans="4:10" ht="12.75" customHeight="1" x14ac:dyDescent="0.3">
      <c r="D413" s="2"/>
      <c r="E413" s="36"/>
      <c r="F413" s="37"/>
      <c r="G413" s="2"/>
      <c r="H413" s="2"/>
      <c r="I413" s="38"/>
      <c r="J413" s="39"/>
    </row>
    <row r="414" spans="4:10" ht="12.75" customHeight="1" x14ac:dyDescent="0.3">
      <c r="D414" s="2"/>
      <c r="E414" s="36"/>
      <c r="F414" s="37"/>
      <c r="G414" s="2"/>
      <c r="H414" s="2"/>
      <c r="I414" s="38"/>
      <c r="J414" s="39"/>
    </row>
    <row r="415" spans="4:10" ht="12.75" customHeight="1" x14ac:dyDescent="0.3">
      <c r="D415" s="2"/>
      <c r="E415" s="36"/>
      <c r="F415" s="37"/>
      <c r="G415" s="2"/>
      <c r="H415" s="2"/>
      <c r="I415" s="38"/>
      <c r="J415" s="39"/>
    </row>
    <row r="416" spans="4:10" ht="12.75" customHeight="1" x14ac:dyDescent="0.3">
      <c r="D416" s="2"/>
      <c r="E416" s="36"/>
      <c r="F416" s="37"/>
      <c r="G416" s="2"/>
      <c r="H416" s="2"/>
      <c r="I416" s="38"/>
      <c r="J416" s="39"/>
    </row>
    <row r="417" spans="4:10" ht="12.75" customHeight="1" x14ac:dyDescent="0.3">
      <c r="D417" s="2"/>
      <c r="E417" s="36"/>
      <c r="F417" s="37"/>
      <c r="G417" s="2"/>
      <c r="H417" s="2"/>
      <c r="I417" s="38"/>
      <c r="J417" s="39"/>
    </row>
    <row r="418" spans="4:10" ht="12.75" customHeight="1" x14ac:dyDescent="0.3">
      <c r="D418" s="2"/>
      <c r="E418" s="36"/>
      <c r="F418" s="37"/>
      <c r="G418" s="2"/>
      <c r="H418" s="2"/>
      <c r="I418" s="38"/>
      <c r="J418" s="39"/>
    </row>
    <row r="419" spans="4:10" ht="12.75" customHeight="1" x14ac:dyDescent="0.3">
      <c r="D419" s="2"/>
      <c r="E419" s="36"/>
      <c r="F419" s="37"/>
      <c r="G419" s="2"/>
      <c r="H419" s="2"/>
      <c r="I419" s="38"/>
      <c r="J419" s="39"/>
    </row>
    <row r="420" spans="4:10" ht="12.75" customHeight="1" x14ac:dyDescent="0.3">
      <c r="D420" s="2"/>
      <c r="E420" s="36"/>
      <c r="F420" s="37"/>
      <c r="G420" s="2"/>
      <c r="H420" s="2"/>
      <c r="I420" s="38"/>
      <c r="J420" s="39"/>
    </row>
    <row r="421" spans="4:10" ht="12.75" customHeight="1" x14ac:dyDescent="0.3">
      <c r="D421" s="2"/>
      <c r="E421" s="36"/>
      <c r="F421" s="37"/>
      <c r="G421" s="2"/>
      <c r="H421" s="2"/>
      <c r="I421" s="38"/>
      <c r="J421" s="39"/>
    </row>
    <row r="422" spans="4:10" ht="12.75" customHeight="1" x14ac:dyDescent="0.3">
      <c r="D422" s="2"/>
      <c r="E422" s="36"/>
      <c r="F422" s="37"/>
      <c r="G422" s="2"/>
      <c r="H422" s="2"/>
      <c r="I422" s="38"/>
      <c r="J422" s="39"/>
    </row>
    <row r="423" spans="4:10" ht="12.75" customHeight="1" x14ac:dyDescent="0.3">
      <c r="D423" s="2"/>
      <c r="E423" s="36"/>
      <c r="F423" s="37"/>
      <c r="G423" s="2"/>
      <c r="H423" s="2"/>
      <c r="I423" s="38"/>
      <c r="J423" s="39"/>
    </row>
    <row r="424" spans="4:10" ht="12.75" customHeight="1" x14ac:dyDescent="0.3">
      <c r="D424" s="2"/>
      <c r="E424" s="36"/>
      <c r="F424" s="37"/>
      <c r="G424" s="2"/>
      <c r="H424" s="2"/>
      <c r="I424" s="38"/>
      <c r="J424" s="39"/>
    </row>
    <row r="425" spans="4:10" ht="12.75" customHeight="1" x14ac:dyDescent="0.3">
      <c r="D425" s="2"/>
      <c r="E425" s="36"/>
      <c r="F425" s="37"/>
      <c r="G425" s="2"/>
      <c r="H425" s="2"/>
      <c r="I425" s="38"/>
      <c r="J425" s="39"/>
    </row>
    <row r="426" spans="4:10" ht="12.75" customHeight="1" x14ac:dyDescent="0.3">
      <c r="D426" s="2"/>
      <c r="E426" s="36"/>
      <c r="F426" s="37"/>
      <c r="G426" s="2"/>
      <c r="H426" s="2"/>
      <c r="I426" s="38"/>
      <c r="J426" s="39"/>
    </row>
    <row r="427" spans="4:10" ht="12.75" customHeight="1" x14ac:dyDescent="0.3">
      <c r="D427" s="2"/>
      <c r="E427" s="36"/>
      <c r="F427" s="37"/>
      <c r="G427" s="2"/>
      <c r="H427" s="2"/>
      <c r="I427" s="38"/>
      <c r="J427" s="39"/>
    </row>
    <row r="428" spans="4:10" ht="12.75" customHeight="1" x14ac:dyDescent="0.3">
      <c r="D428" s="2"/>
      <c r="E428" s="36"/>
      <c r="F428" s="37"/>
      <c r="G428" s="2"/>
      <c r="H428" s="2"/>
      <c r="I428" s="38"/>
      <c r="J428" s="39"/>
    </row>
    <row r="429" spans="4:10" ht="12.75" customHeight="1" x14ac:dyDescent="0.3">
      <c r="D429" s="2"/>
      <c r="E429" s="36"/>
      <c r="F429" s="37"/>
      <c r="G429" s="2"/>
      <c r="H429" s="2"/>
      <c r="I429" s="38"/>
      <c r="J429" s="39"/>
    </row>
    <row r="430" spans="4:10" ht="12.75" customHeight="1" x14ac:dyDescent="0.3">
      <c r="D430" s="2"/>
      <c r="E430" s="36"/>
      <c r="F430" s="37"/>
      <c r="G430" s="2"/>
      <c r="H430" s="2"/>
      <c r="I430" s="38"/>
      <c r="J430" s="39"/>
    </row>
    <row r="431" spans="4:10" ht="12.75" customHeight="1" x14ac:dyDescent="0.3">
      <c r="D431" s="2"/>
      <c r="E431" s="36"/>
      <c r="F431" s="37"/>
      <c r="G431" s="2"/>
      <c r="H431" s="2"/>
      <c r="I431" s="38"/>
      <c r="J431" s="39"/>
    </row>
    <row r="432" spans="4:10" ht="12.75" customHeight="1" x14ac:dyDescent="0.3">
      <c r="D432" s="2"/>
      <c r="E432" s="36"/>
      <c r="F432" s="37"/>
      <c r="G432" s="2"/>
      <c r="H432" s="2"/>
      <c r="I432" s="38"/>
      <c r="J432" s="39"/>
    </row>
    <row r="433" spans="4:10" ht="12.75" customHeight="1" x14ac:dyDescent="0.3">
      <c r="D433" s="2"/>
      <c r="E433" s="36"/>
      <c r="F433" s="37"/>
      <c r="G433" s="2"/>
      <c r="H433" s="2"/>
      <c r="I433" s="38"/>
      <c r="J433" s="39"/>
    </row>
    <row r="434" spans="4:10" ht="12.75" customHeight="1" x14ac:dyDescent="0.3">
      <c r="D434" s="2"/>
      <c r="E434" s="36"/>
      <c r="F434" s="37"/>
      <c r="G434" s="2"/>
      <c r="H434" s="2"/>
      <c r="I434" s="38"/>
      <c r="J434" s="39"/>
    </row>
    <row r="435" spans="4:10" ht="12.75" customHeight="1" x14ac:dyDescent="0.3">
      <c r="D435" s="2"/>
      <c r="E435" s="36"/>
      <c r="F435" s="37"/>
      <c r="G435" s="2"/>
      <c r="H435" s="2"/>
      <c r="I435" s="38"/>
      <c r="J435" s="39"/>
    </row>
    <row r="436" spans="4:10" ht="12.75" customHeight="1" x14ac:dyDescent="0.3">
      <c r="D436" s="2"/>
      <c r="E436" s="36"/>
      <c r="F436" s="37"/>
      <c r="G436" s="2"/>
      <c r="H436" s="2"/>
      <c r="I436" s="38"/>
      <c r="J436" s="39"/>
    </row>
    <row r="437" spans="4:10" ht="12.75" customHeight="1" x14ac:dyDescent="0.3">
      <c r="D437" s="2"/>
      <c r="E437" s="36"/>
      <c r="F437" s="37"/>
      <c r="G437" s="2"/>
      <c r="H437" s="2"/>
      <c r="I437" s="38"/>
      <c r="J437" s="39"/>
    </row>
    <row r="438" spans="4:10" ht="12.75" customHeight="1" x14ac:dyDescent="0.3">
      <c r="D438" s="2"/>
      <c r="E438" s="36"/>
      <c r="F438" s="37"/>
      <c r="G438" s="2"/>
      <c r="H438" s="2"/>
      <c r="I438" s="38"/>
      <c r="J438" s="39"/>
    </row>
    <row r="439" spans="4:10" ht="12.75" customHeight="1" x14ac:dyDescent="0.3">
      <c r="D439" s="2"/>
      <c r="E439" s="36"/>
      <c r="F439" s="37"/>
      <c r="G439" s="2"/>
      <c r="H439" s="2"/>
      <c r="I439" s="38"/>
      <c r="J439" s="39"/>
    </row>
    <row r="440" spans="4:10" ht="12.75" customHeight="1" x14ac:dyDescent="0.3">
      <c r="D440" s="2"/>
      <c r="E440" s="36"/>
      <c r="F440" s="37"/>
      <c r="G440" s="2"/>
      <c r="H440" s="2"/>
      <c r="I440" s="38"/>
      <c r="J440" s="39"/>
    </row>
    <row r="441" spans="4:10" ht="12.75" customHeight="1" x14ac:dyDescent="0.3">
      <c r="D441" s="2"/>
      <c r="E441" s="36"/>
      <c r="F441" s="37"/>
      <c r="G441" s="2"/>
      <c r="H441" s="2"/>
      <c r="I441" s="38"/>
      <c r="J441" s="39"/>
    </row>
    <row r="442" spans="4:10" ht="12.75" customHeight="1" x14ac:dyDescent="0.3">
      <c r="D442" s="2"/>
      <c r="E442" s="36"/>
      <c r="F442" s="37"/>
      <c r="G442" s="2"/>
      <c r="H442" s="2"/>
      <c r="I442" s="38"/>
      <c r="J442" s="39"/>
    </row>
    <row r="443" spans="4:10" ht="12.75" customHeight="1" x14ac:dyDescent="0.3">
      <c r="D443" s="2"/>
      <c r="E443" s="36"/>
      <c r="F443" s="37"/>
      <c r="G443" s="2"/>
      <c r="H443" s="2"/>
      <c r="I443" s="38"/>
      <c r="J443" s="39"/>
    </row>
    <row r="444" spans="4:10" ht="12.75" customHeight="1" x14ac:dyDescent="0.3">
      <c r="D444" s="2"/>
      <c r="E444" s="36"/>
      <c r="F444" s="37"/>
      <c r="G444" s="2"/>
      <c r="H444" s="2"/>
      <c r="I444" s="38"/>
      <c r="J444" s="39"/>
    </row>
    <row r="445" spans="4:10" ht="12.75" customHeight="1" x14ac:dyDescent="0.3">
      <c r="D445" s="2"/>
      <c r="E445" s="36"/>
      <c r="F445" s="37"/>
      <c r="G445" s="2"/>
      <c r="H445" s="2"/>
      <c r="I445" s="38"/>
      <c r="J445" s="39"/>
    </row>
    <row r="446" spans="4:10" ht="12.75" customHeight="1" x14ac:dyDescent="0.3">
      <c r="D446" s="2"/>
      <c r="E446" s="36"/>
      <c r="F446" s="37"/>
      <c r="G446" s="2"/>
      <c r="H446" s="2"/>
      <c r="I446" s="38"/>
      <c r="J446" s="39"/>
    </row>
    <row r="447" spans="4:10" ht="12.75" customHeight="1" x14ac:dyDescent="0.3">
      <c r="D447" s="2"/>
      <c r="E447" s="36"/>
      <c r="F447" s="37"/>
      <c r="G447" s="2"/>
      <c r="H447" s="2"/>
      <c r="I447" s="38"/>
      <c r="J447" s="39"/>
    </row>
    <row r="448" spans="4:10" ht="12.75" customHeight="1" x14ac:dyDescent="0.3">
      <c r="D448" s="2"/>
      <c r="E448" s="36"/>
      <c r="F448" s="37"/>
      <c r="G448" s="2"/>
      <c r="H448" s="2"/>
      <c r="I448" s="38"/>
      <c r="J448" s="39"/>
    </row>
    <row r="449" spans="4:10" ht="12.75" customHeight="1" x14ac:dyDescent="0.3">
      <c r="D449" s="2"/>
      <c r="E449" s="36"/>
      <c r="F449" s="37"/>
      <c r="G449" s="2"/>
      <c r="H449" s="2"/>
      <c r="I449" s="38"/>
      <c r="J449" s="39"/>
    </row>
    <row r="450" spans="4:10" ht="12.75" customHeight="1" x14ac:dyDescent="0.3">
      <c r="D450" s="2"/>
      <c r="E450" s="36"/>
      <c r="F450" s="37"/>
      <c r="G450" s="2"/>
      <c r="H450" s="2"/>
      <c r="I450" s="38"/>
      <c r="J450" s="39"/>
    </row>
    <row r="451" spans="4:10" ht="12.75" customHeight="1" x14ac:dyDescent="0.3">
      <c r="D451" s="2"/>
      <c r="E451" s="36"/>
      <c r="F451" s="37"/>
      <c r="G451" s="2"/>
      <c r="H451" s="2"/>
      <c r="I451" s="38"/>
      <c r="J451" s="39"/>
    </row>
    <row r="452" spans="4:10" ht="12.75" customHeight="1" x14ac:dyDescent="0.3">
      <c r="D452" s="2"/>
      <c r="E452" s="36"/>
      <c r="F452" s="37"/>
      <c r="G452" s="2"/>
      <c r="H452" s="2"/>
      <c r="I452" s="38"/>
      <c r="J452" s="39"/>
    </row>
    <row r="453" spans="4:10" ht="12.75" customHeight="1" x14ac:dyDescent="0.3">
      <c r="D453" s="2"/>
      <c r="E453" s="36"/>
      <c r="F453" s="37"/>
      <c r="G453" s="2"/>
      <c r="H453" s="2"/>
      <c r="I453" s="38"/>
      <c r="J453" s="39"/>
    </row>
    <row r="454" spans="4:10" ht="12.75" customHeight="1" x14ac:dyDescent="0.3">
      <c r="D454" s="2"/>
      <c r="E454" s="36"/>
      <c r="F454" s="37"/>
      <c r="G454" s="2"/>
      <c r="H454" s="2"/>
      <c r="I454" s="38"/>
      <c r="J454" s="39"/>
    </row>
    <row r="455" spans="4:10" ht="12.75" customHeight="1" x14ac:dyDescent="0.3">
      <c r="D455" s="2"/>
      <c r="E455" s="36"/>
      <c r="F455" s="37"/>
      <c r="G455" s="2"/>
      <c r="H455" s="2"/>
      <c r="I455" s="38"/>
      <c r="J455" s="39"/>
    </row>
    <row r="456" spans="4:10" ht="12.75" customHeight="1" x14ac:dyDescent="0.3">
      <c r="D456" s="2"/>
      <c r="E456" s="36"/>
      <c r="F456" s="37"/>
      <c r="G456" s="2"/>
      <c r="H456" s="2"/>
      <c r="I456" s="38"/>
      <c r="J456" s="39"/>
    </row>
    <row r="457" spans="4:10" ht="12.75" customHeight="1" x14ac:dyDescent="0.3">
      <c r="D457" s="2"/>
      <c r="E457" s="36"/>
      <c r="F457" s="37"/>
      <c r="G457" s="2"/>
      <c r="H457" s="2"/>
      <c r="I457" s="38"/>
      <c r="J457" s="39"/>
    </row>
    <row r="458" spans="4:10" ht="12.75" customHeight="1" x14ac:dyDescent="0.3">
      <c r="D458" s="2"/>
      <c r="E458" s="36"/>
      <c r="F458" s="37"/>
      <c r="G458" s="2"/>
      <c r="H458" s="2"/>
      <c r="I458" s="38"/>
      <c r="J458" s="39"/>
    </row>
    <row r="459" spans="4:10" ht="12.75" customHeight="1" x14ac:dyDescent="0.3">
      <c r="D459" s="2"/>
      <c r="E459" s="36"/>
      <c r="F459" s="37"/>
      <c r="G459" s="2"/>
      <c r="H459" s="2"/>
      <c r="I459" s="38"/>
      <c r="J459" s="39"/>
    </row>
    <row r="460" spans="4:10" ht="12.75" customHeight="1" x14ac:dyDescent="0.3">
      <c r="D460" s="2"/>
      <c r="E460" s="36"/>
      <c r="F460" s="37"/>
      <c r="G460" s="2"/>
      <c r="H460" s="2"/>
      <c r="I460" s="38"/>
      <c r="J460" s="39"/>
    </row>
    <row r="461" spans="4:10" ht="12.75" customHeight="1" x14ac:dyDescent="0.3">
      <c r="D461" s="2"/>
      <c r="E461" s="36"/>
      <c r="F461" s="37"/>
      <c r="G461" s="2"/>
      <c r="H461" s="2"/>
      <c r="I461" s="38"/>
      <c r="J461" s="39"/>
    </row>
    <row r="462" spans="4:10" ht="12.75" customHeight="1" x14ac:dyDescent="0.3">
      <c r="D462" s="2"/>
      <c r="E462" s="36"/>
      <c r="F462" s="37"/>
      <c r="G462" s="2"/>
      <c r="H462" s="2"/>
      <c r="I462" s="38"/>
      <c r="J462" s="39"/>
    </row>
    <row r="463" spans="4:10" ht="12.75" customHeight="1" x14ac:dyDescent="0.3">
      <c r="D463" s="2"/>
      <c r="E463" s="36"/>
      <c r="F463" s="37"/>
      <c r="G463" s="2"/>
      <c r="H463" s="2"/>
      <c r="I463" s="38"/>
      <c r="J463" s="39"/>
    </row>
    <row r="464" spans="4:10" ht="12.75" customHeight="1" x14ac:dyDescent="0.3">
      <c r="D464" s="2"/>
      <c r="E464" s="36"/>
      <c r="F464" s="37"/>
      <c r="G464" s="2"/>
      <c r="H464" s="2"/>
      <c r="I464" s="38"/>
      <c r="J464" s="39"/>
    </row>
    <row r="465" spans="4:10" ht="12.75" customHeight="1" x14ac:dyDescent="0.3">
      <c r="D465" s="2"/>
      <c r="E465" s="36"/>
      <c r="F465" s="37"/>
      <c r="G465" s="2"/>
      <c r="H465" s="2"/>
      <c r="I465" s="38"/>
      <c r="J465" s="39"/>
    </row>
    <row r="466" spans="4:10" ht="12.75" customHeight="1" x14ac:dyDescent="0.3">
      <c r="D466" s="2"/>
      <c r="E466" s="36"/>
      <c r="F466" s="37"/>
      <c r="G466" s="2"/>
      <c r="H466" s="2"/>
      <c r="I466" s="38"/>
      <c r="J466" s="39"/>
    </row>
    <row r="467" spans="4:10" ht="12.75" customHeight="1" x14ac:dyDescent="0.3">
      <c r="D467" s="2"/>
      <c r="E467" s="36"/>
      <c r="F467" s="37"/>
      <c r="G467" s="2"/>
      <c r="H467" s="2"/>
      <c r="I467" s="38"/>
      <c r="J467" s="39"/>
    </row>
    <row r="468" spans="4:10" ht="12.75" customHeight="1" x14ac:dyDescent="0.3">
      <c r="D468" s="2"/>
      <c r="E468" s="36"/>
      <c r="F468" s="37"/>
      <c r="G468" s="2"/>
      <c r="H468" s="2"/>
      <c r="I468" s="38"/>
      <c r="J468" s="39"/>
    </row>
    <row r="469" spans="4:10" ht="12.75" customHeight="1" x14ac:dyDescent="0.3">
      <c r="D469" s="2"/>
      <c r="E469" s="36"/>
      <c r="F469" s="37"/>
      <c r="G469" s="2"/>
      <c r="H469" s="2"/>
      <c r="I469" s="38"/>
      <c r="J469" s="39"/>
    </row>
    <row r="470" spans="4:10" ht="12.75" customHeight="1" x14ac:dyDescent="0.3">
      <c r="D470" s="2"/>
      <c r="E470" s="36"/>
      <c r="F470" s="37"/>
      <c r="G470" s="2"/>
      <c r="H470" s="2"/>
      <c r="I470" s="38"/>
      <c r="J470" s="39"/>
    </row>
    <row r="471" spans="4:10" ht="12.75" customHeight="1" x14ac:dyDescent="0.3">
      <c r="D471" s="2"/>
      <c r="E471" s="36"/>
      <c r="F471" s="37"/>
      <c r="G471" s="2"/>
      <c r="H471" s="2"/>
      <c r="I471" s="38"/>
      <c r="J471" s="39"/>
    </row>
    <row r="472" spans="4:10" ht="12.75" customHeight="1" x14ac:dyDescent="0.3">
      <c r="D472" s="2"/>
      <c r="E472" s="36"/>
      <c r="F472" s="37"/>
      <c r="G472" s="2"/>
      <c r="H472" s="2"/>
      <c r="I472" s="38"/>
      <c r="J472" s="39"/>
    </row>
    <row r="473" spans="4:10" ht="12.75" customHeight="1" x14ac:dyDescent="0.3">
      <c r="D473" s="2"/>
      <c r="E473" s="36"/>
      <c r="F473" s="37"/>
      <c r="G473" s="2"/>
      <c r="H473" s="2"/>
      <c r="I473" s="38"/>
      <c r="J473" s="39"/>
    </row>
    <row r="474" spans="4:10" ht="12.75" customHeight="1" x14ac:dyDescent="0.3">
      <c r="D474" s="2"/>
      <c r="E474" s="36"/>
      <c r="F474" s="37"/>
      <c r="G474" s="2"/>
      <c r="H474" s="2"/>
      <c r="I474" s="38"/>
      <c r="J474" s="39"/>
    </row>
    <row r="475" spans="4:10" ht="12.75" customHeight="1" x14ac:dyDescent="0.3">
      <c r="D475" s="2"/>
      <c r="E475" s="36"/>
      <c r="F475" s="37"/>
      <c r="G475" s="2"/>
      <c r="H475" s="2"/>
      <c r="I475" s="38"/>
      <c r="J475" s="39"/>
    </row>
    <row r="476" spans="4:10" ht="12.75" customHeight="1" x14ac:dyDescent="0.3">
      <c r="D476" s="2"/>
      <c r="E476" s="36"/>
      <c r="F476" s="37"/>
      <c r="G476" s="2"/>
      <c r="H476" s="2"/>
      <c r="I476" s="38"/>
      <c r="J476" s="39"/>
    </row>
    <row r="477" spans="4:10" ht="12.75" customHeight="1" x14ac:dyDescent="0.3">
      <c r="D477" s="2"/>
      <c r="E477" s="36"/>
      <c r="F477" s="37"/>
      <c r="G477" s="2"/>
      <c r="H477" s="2"/>
      <c r="I477" s="38"/>
      <c r="J477" s="39"/>
    </row>
    <row r="478" spans="4:10" ht="12.75" customHeight="1" x14ac:dyDescent="0.3">
      <c r="D478" s="2"/>
      <c r="E478" s="36"/>
      <c r="F478" s="37"/>
      <c r="G478" s="2"/>
      <c r="H478" s="2"/>
      <c r="I478" s="38"/>
      <c r="J478" s="39"/>
    </row>
    <row r="479" spans="4:10" ht="12.75" customHeight="1" x14ac:dyDescent="0.3">
      <c r="D479" s="2"/>
      <c r="E479" s="36"/>
      <c r="F479" s="37"/>
      <c r="G479" s="2"/>
      <c r="H479" s="2"/>
      <c r="I479" s="38"/>
      <c r="J479" s="39"/>
    </row>
    <row r="480" spans="4:10" ht="12.75" customHeight="1" x14ac:dyDescent="0.3">
      <c r="D480" s="2"/>
      <c r="E480" s="36"/>
      <c r="F480" s="37"/>
      <c r="G480" s="2"/>
      <c r="H480" s="2"/>
      <c r="I480" s="38"/>
      <c r="J480" s="39"/>
    </row>
    <row r="481" spans="4:10" ht="12.75" customHeight="1" x14ac:dyDescent="0.3">
      <c r="D481" s="2"/>
      <c r="E481" s="36"/>
      <c r="F481" s="37"/>
      <c r="G481" s="2"/>
      <c r="H481" s="2"/>
      <c r="I481" s="38"/>
      <c r="J481" s="39"/>
    </row>
    <row r="482" spans="4:10" ht="12.75" customHeight="1" x14ac:dyDescent="0.3">
      <c r="D482" s="2"/>
      <c r="E482" s="36"/>
      <c r="F482" s="37"/>
      <c r="G482" s="2"/>
      <c r="H482" s="2"/>
      <c r="I482" s="38"/>
      <c r="J482" s="39"/>
    </row>
    <row r="483" spans="4:10" ht="12.75" customHeight="1" x14ac:dyDescent="0.3">
      <c r="D483" s="2"/>
      <c r="E483" s="36"/>
      <c r="F483" s="37"/>
      <c r="G483" s="2"/>
      <c r="H483" s="2"/>
      <c r="I483" s="38"/>
      <c r="J483" s="39"/>
    </row>
    <row r="484" spans="4:10" ht="12.75" customHeight="1" x14ac:dyDescent="0.3">
      <c r="D484" s="2"/>
      <c r="E484" s="36"/>
      <c r="F484" s="37"/>
      <c r="G484" s="2"/>
      <c r="H484" s="2"/>
      <c r="I484" s="38"/>
      <c r="J484" s="39"/>
    </row>
    <row r="485" spans="4:10" ht="12.75" customHeight="1" x14ac:dyDescent="0.3">
      <c r="D485" s="2"/>
      <c r="E485" s="36"/>
      <c r="F485" s="37"/>
      <c r="G485" s="2"/>
      <c r="H485" s="2"/>
      <c r="I485" s="38"/>
      <c r="J485" s="39"/>
    </row>
    <row r="486" spans="4:10" ht="12.75" customHeight="1" x14ac:dyDescent="0.3">
      <c r="D486" s="2"/>
      <c r="E486" s="36"/>
      <c r="F486" s="37"/>
      <c r="G486" s="2"/>
      <c r="H486" s="2"/>
      <c r="I486" s="38"/>
      <c r="J486" s="39"/>
    </row>
    <row r="487" spans="4:10" ht="12.75" customHeight="1" x14ac:dyDescent="0.3">
      <c r="D487" s="2"/>
      <c r="E487" s="36"/>
      <c r="F487" s="37"/>
      <c r="G487" s="2"/>
      <c r="H487" s="2"/>
      <c r="I487" s="38"/>
      <c r="J487" s="39"/>
    </row>
    <row r="488" spans="4:10" ht="12.75" customHeight="1" x14ac:dyDescent="0.3">
      <c r="D488" s="2"/>
      <c r="E488" s="36"/>
      <c r="F488" s="37"/>
      <c r="G488" s="2"/>
      <c r="H488" s="2"/>
      <c r="I488" s="38"/>
      <c r="J488" s="39"/>
    </row>
    <row r="489" spans="4:10" ht="12.75" customHeight="1" x14ac:dyDescent="0.3">
      <c r="D489" s="2"/>
      <c r="E489" s="36"/>
      <c r="F489" s="37"/>
      <c r="G489" s="2"/>
      <c r="H489" s="2"/>
      <c r="I489" s="38"/>
      <c r="J489" s="39"/>
    </row>
    <row r="490" spans="4:10" ht="12.75" customHeight="1" x14ac:dyDescent="0.3">
      <c r="D490" s="2"/>
      <c r="E490" s="36"/>
      <c r="F490" s="37"/>
      <c r="G490" s="2"/>
      <c r="H490" s="2"/>
      <c r="I490" s="38"/>
      <c r="J490" s="39"/>
    </row>
    <row r="491" spans="4:10" ht="12.75" customHeight="1" x14ac:dyDescent="0.3">
      <c r="D491" s="2"/>
      <c r="E491" s="36"/>
      <c r="F491" s="37"/>
      <c r="G491" s="2"/>
      <c r="H491" s="2"/>
      <c r="I491" s="38"/>
      <c r="J491" s="39"/>
    </row>
    <row r="492" spans="4:10" ht="12.75" customHeight="1" x14ac:dyDescent="0.3">
      <c r="D492" s="2"/>
      <c r="E492" s="36"/>
      <c r="F492" s="37"/>
      <c r="G492" s="2"/>
      <c r="H492" s="2"/>
      <c r="I492" s="38"/>
      <c r="J492" s="39"/>
    </row>
    <row r="493" spans="4:10" ht="12.75" customHeight="1" x14ac:dyDescent="0.3">
      <c r="D493" s="2"/>
      <c r="E493" s="36"/>
      <c r="F493" s="37"/>
      <c r="G493" s="2"/>
      <c r="H493" s="2"/>
      <c r="I493" s="38"/>
      <c r="J493" s="39"/>
    </row>
    <row r="494" spans="4:10" ht="12.75" customHeight="1" x14ac:dyDescent="0.3">
      <c r="D494" s="2"/>
      <c r="E494" s="36"/>
      <c r="F494" s="37"/>
      <c r="G494" s="2"/>
      <c r="H494" s="2"/>
      <c r="I494" s="38"/>
      <c r="J494" s="39"/>
    </row>
    <row r="495" spans="4:10" ht="12.75" customHeight="1" x14ac:dyDescent="0.3">
      <c r="D495" s="2"/>
      <c r="E495" s="36"/>
      <c r="F495" s="37"/>
      <c r="G495" s="2"/>
      <c r="H495" s="2"/>
      <c r="I495" s="38"/>
      <c r="J495" s="39"/>
    </row>
    <row r="496" spans="4:10" ht="12.75" customHeight="1" x14ac:dyDescent="0.3">
      <c r="D496" s="2"/>
      <c r="E496" s="36"/>
      <c r="F496" s="37"/>
      <c r="G496" s="2"/>
      <c r="H496" s="2"/>
      <c r="I496" s="38"/>
      <c r="J496" s="39"/>
    </row>
    <row r="497" spans="4:10" ht="12.75" customHeight="1" x14ac:dyDescent="0.3">
      <c r="D497" s="2"/>
      <c r="E497" s="36"/>
      <c r="F497" s="37"/>
      <c r="G497" s="2"/>
      <c r="H497" s="2"/>
      <c r="I497" s="38"/>
      <c r="J497" s="39"/>
    </row>
    <row r="498" spans="4:10" ht="12.75" customHeight="1" x14ac:dyDescent="0.3">
      <c r="D498" s="2"/>
      <c r="E498" s="36"/>
      <c r="F498" s="37"/>
      <c r="G498" s="2"/>
      <c r="H498" s="2"/>
      <c r="I498" s="38"/>
      <c r="J498" s="39"/>
    </row>
    <row r="499" spans="4:10" ht="12.75" customHeight="1" x14ac:dyDescent="0.3">
      <c r="D499" s="2"/>
      <c r="E499" s="36"/>
      <c r="F499" s="37"/>
      <c r="G499" s="2"/>
      <c r="H499" s="2"/>
      <c r="I499" s="38"/>
      <c r="J499" s="39"/>
    </row>
    <row r="500" spans="4:10" ht="12.75" customHeight="1" x14ac:dyDescent="0.3">
      <c r="D500" s="2"/>
      <c r="E500" s="36"/>
      <c r="F500" s="37"/>
      <c r="G500" s="2"/>
      <c r="H500" s="2"/>
      <c r="I500" s="38"/>
      <c r="J500" s="39"/>
    </row>
    <row r="501" spans="4:10" ht="12.75" customHeight="1" x14ac:dyDescent="0.3">
      <c r="D501" s="2"/>
      <c r="E501" s="36"/>
      <c r="F501" s="37"/>
      <c r="G501" s="2"/>
      <c r="H501" s="2"/>
      <c r="I501" s="38"/>
      <c r="J501" s="39"/>
    </row>
    <row r="502" spans="4:10" ht="12.75" customHeight="1" x14ac:dyDescent="0.3">
      <c r="D502" s="2"/>
      <c r="E502" s="36"/>
      <c r="F502" s="37"/>
      <c r="G502" s="2"/>
      <c r="H502" s="2"/>
      <c r="I502" s="38"/>
      <c r="J502" s="39"/>
    </row>
    <row r="503" spans="4:10" ht="12.75" customHeight="1" x14ac:dyDescent="0.3">
      <c r="D503" s="2"/>
      <c r="E503" s="36"/>
      <c r="F503" s="37"/>
      <c r="G503" s="2"/>
      <c r="H503" s="2"/>
      <c r="I503" s="38"/>
      <c r="J503" s="39"/>
    </row>
    <row r="504" spans="4:10" ht="12.75" customHeight="1" x14ac:dyDescent="0.3">
      <c r="D504" s="2"/>
      <c r="E504" s="36"/>
      <c r="F504" s="37"/>
      <c r="G504" s="2"/>
      <c r="H504" s="2"/>
      <c r="I504" s="38"/>
      <c r="J504" s="39"/>
    </row>
    <row r="505" spans="4:10" ht="12.75" customHeight="1" x14ac:dyDescent="0.3">
      <c r="D505" s="2"/>
      <c r="E505" s="36"/>
      <c r="F505" s="37"/>
      <c r="G505" s="2"/>
      <c r="H505" s="2"/>
      <c r="I505" s="38"/>
      <c r="J505" s="39"/>
    </row>
    <row r="506" spans="4:10" ht="12.75" customHeight="1" x14ac:dyDescent="0.3">
      <c r="D506" s="2"/>
      <c r="E506" s="36"/>
      <c r="F506" s="37"/>
      <c r="G506" s="2"/>
      <c r="H506" s="2"/>
      <c r="I506" s="38"/>
      <c r="J506" s="39"/>
    </row>
    <row r="507" spans="4:10" ht="12.75" customHeight="1" x14ac:dyDescent="0.3">
      <c r="D507" s="2"/>
      <c r="E507" s="36"/>
      <c r="F507" s="37"/>
      <c r="G507" s="2"/>
      <c r="H507" s="2"/>
      <c r="I507" s="38"/>
      <c r="J507" s="39"/>
    </row>
    <row r="508" spans="4:10" ht="12.75" customHeight="1" x14ac:dyDescent="0.3">
      <c r="D508" s="2"/>
      <c r="E508" s="36"/>
      <c r="F508" s="37"/>
      <c r="G508" s="2"/>
      <c r="H508" s="2"/>
      <c r="I508" s="38"/>
      <c r="J508" s="39"/>
    </row>
    <row r="509" spans="4:10" ht="12.75" customHeight="1" x14ac:dyDescent="0.3">
      <c r="D509" s="2"/>
      <c r="E509" s="36"/>
      <c r="F509" s="37"/>
      <c r="G509" s="2"/>
      <c r="H509" s="2"/>
      <c r="I509" s="38"/>
      <c r="J509" s="39"/>
    </row>
    <row r="510" spans="4:10" ht="12.75" customHeight="1" x14ac:dyDescent="0.3">
      <c r="D510" s="2"/>
      <c r="E510" s="36"/>
      <c r="F510" s="37"/>
      <c r="G510" s="2"/>
      <c r="H510" s="2"/>
      <c r="I510" s="38"/>
      <c r="J510" s="39"/>
    </row>
    <row r="511" spans="4:10" ht="12.75" customHeight="1" x14ac:dyDescent="0.3">
      <c r="D511" s="2"/>
      <c r="E511" s="36"/>
      <c r="F511" s="37"/>
      <c r="G511" s="2"/>
      <c r="H511" s="2"/>
      <c r="I511" s="38"/>
      <c r="J511" s="39"/>
    </row>
    <row r="512" spans="4:10" ht="12.75" customHeight="1" x14ac:dyDescent="0.3">
      <c r="D512" s="2"/>
      <c r="E512" s="36"/>
      <c r="F512" s="37"/>
      <c r="G512" s="2"/>
      <c r="H512" s="2"/>
      <c r="I512" s="38"/>
      <c r="J512" s="39"/>
    </row>
    <row r="513" spans="4:10" ht="12.75" customHeight="1" x14ac:dyDescent="0.3">
      <c r="D513" s="2"/>
      <c r="E513" s="36"/>
      <c r="F513" s="37"/>
      <c r="G513" s="2"/>
      <c r="H513" s="2"/>
      <c r="I513" s="38"/>
      <c r="J513" s="39"/>
    </row>
    <row r="514" spans="4:10" ht="12.75" customHeight="1" x14ac:dyDescent="0.3">
      <c r="D514" s="2"/>
      <c r="E514" s="36"/>
      <c r="F514" s="37"/>
      <c r="G514" s="2"/>
      <c r="H514" s="2"/>
      <c r="I514" s="38"/>
      <c r="J514" s="39"/>
    </row>
    <row r="515" spans="4:10" ht="12.75" customHeight="1" x14ac:dyDescent="0.3">
      <c r="D515" s="2"/>
      <c r="E515" s="36"/>
      <c r="F515" s="37"/>
      <c r="G515" s="2"/>
      <c r="H515" s="2"/>
      <c r="I515" s="38"/>
      <c r="J515" s="39"/>
    </row>
    <row r="516" spans="4:10" ht="12.75" customHeight="1" x14ac:dyDescent="0.3">
      <c r="D516" s="2"/>
      <c r="E516" s="36"/>
      <c r="F516" s="37"/>
      <c r="G516" s="2"/>
      <c r="H516" s="2"/>
      <c r="I516" s="38"/>
      <c r="J516" s="39"/>
    </row>
    <row r="517" spans="4:10" ht="12.75" customHeight="1" x14ac:dyDescent="0.3">
      <c r="D517" s="2"/>
      <c r="E517" s="36"/>
      <c r="F517" s="37"/>
      <c r="G517" s="2"/>
      <c r="H517" s="2"/>
      <c r="I517" s="38"/>
      <c r="J517" s="39"/>
    </row>
    <row r="518" spans="4:10" ht="12.75" customHeight="1" x14ac:dyDescent="0.3">
      <c r="D518" s="2"/>
      <c r="E518" s="36"/>
      <c r="F518" s="37"/>
      <c r="G518" s="2"/>
      <c r="H518" s="2"/>
      <c r="I518" s="38"/>
      <c r="J518" s="39"/>
    </row>
    <row r="519" spans="4:10" ht="12.75" customHeight="1" x14ac:dyDescent="0.3">
      <c r="D519" s="2"/>
      <c r="E519" s="36"/>
      <c r="F519" s="37"/>
      <c r="G519" s="2"/>
      <c r="H519" s="2"/>
      <c r="I519" s="38"/>
      <c r="J519" s="39"/>
    </row>
    <row r="520" spans="4:10" ht="12.75" customHeight="1" x14ac:dyDescent="0.3">
      <c r="D520" s="2"/>
      <c r="E520" s="36"/>
      <c r="F520" s="37"/>
      <c r="G520" s="2"/>
      <c r="H520" s="2"/>
      <c r="I520" s="38"/>
      <c r="J520" s="39"/>
    </row>
    <row r="521" spans="4:10" ht="12.75" customHeight="1" x14ac:dyDescent="0.3">
      <c r="D521" s="2"/>
      <c r="E521" s="36"/>
      <c r="F521" s="37"/>
      <c r="G521" s="2"/>
      <c r="H521" s="2"/>
      <c r="I521" s="38"/>
      <c r="J521" s="39"/>
    </row>
    <row r="522" spans="4:10" ht="12.75" customHeight="1" x14ac:dyDescent="0.3">
      <c r="D522" s="2"/>
      <c r="E522" s="36"/>
      <c r="F522" s="37"/>
      <c r="G522" s="2"/>
      <c r="H522" s="2"/>
      <c r="I522" s="38"/>
      <c r="J522" s="39"/>
    </row>
    <row r="523" spans="4:10" ht="12.75" customHeight="1" x14ac:dyDescent="0.3">
      <c r="D523" s="2"/>
      <c r="E523" s="36"/>
      <c r="F523" s="37"/>
      <c r="G523" s="2"/>
      <c r="H523" s="2"/>
      <c r="I523" s="38"/>
      <c r="J523" s="39"/>
    </row>
    <row r="524" spans="4:10" ht="12.75" customHeight="1" x14ac:dyDescent="0.3">
      <c r="D524" s="2"/>
      <c r="E524" s="36"/>
      <c r="F524" s="37"/>
      <c r="G524" s="2"/>
      <c r="H524" s="2"/>
      <c r="I524" s="38"/>
      <c r="J524" s="39"/>
    </row>
    <row r="525" spans="4:10" ht="12.75" customHeight="1" x14ac:dyDescent="0.3">
      <c r="D525" s="2"/>
      <c r="E525" s="36"/>
      <c r="F525" s="37"/>
      <c r="G525" s="2"/>
      <c r="H525" s="2"/>
      <c r="I525" s="38"/>
      <c r="J525" s="39"/>
    </row>
    <row r="526" spans="4:10" ht="12.75" customHeight="1" x14ac:dyDescent="0.3">
      <c r="D526" s="2"/>
      <c r="E526" s="36"/>
      <c r="F526" s="37"/>
      <c r="G526" s="2"/>
      <c r="H526" s="2"/>
      <c r="I526" s="38"/>
      <c r="J526" s="39"/>
    </row>
    <row r="527" spans="4:10" ht="12.75" customHeight="1" x14ac:dyDescent="0.3">
      <c r="D527" s="2"/>
      <c r="E527" s="36"/>
      <c r="F527" s="37"/>
      <c r="G527" s="2"/>
      <c r="H527" s="2"/>
      <c r="I527" s="38"/>
      <c r="J527" s="39"/>
    </row>
    <row r="528" spans="4:10" ht="12.75" customHeight="1" x14ac:dyDescent="0.3">
      <c r="D528" s="2"/>
      <c r="E528" s="36"/>
      <c r="F528" s="37"/>
      <c r="G528" s="2"/>
      <c r="H528" s="2"/>
      <c r="I528" s="38"/>
      <c r="J528" s="39"/>
    </row>
    <row r="529" spans="4:10" ht="12.75" customHeight="1" x14ac:dyDescent="0.3">
      <c r="D529" s="2"/>
      <c r="E529" s="36"/>
      <c r="F529" s="37"/>
      <c r="G529" s="2"/>
      <c r="H529" s="2"/>
      <c r="I529" s="38"/>
      <c r="J529" s="39"/>
    </row>
    <row r="530" spans="4:10" ht="12.75" customHeight="1" x14ac:dyDescent="0.3">
      <c r="D530" s="2"/>
      <c r="E530" s="36"/>
      <c r="F530" s="37"/>
      <c r="G530" s="2"/>
      <c r="H530" s="2"/>
      <c r="I530" s="38"/>
      <c r="J530" s="39"/>
    </row>
    <row r="531" spans="4:10" ht="12.75" customHeight="1" x14ac:dyDescent="0.3">
      <c r="D531" s="2"/>
      <c r="E531" s="36"/>
      <c r="F531" s="37"/>
      <c r="G531" s="2"/>
      <c r="H531" s="2"/>
      <c r="I531" s="38"/>
      <c r="J531" s="39"/>
    </row>
    <row r="532" spans="4:10" ht="12.75" customHeight="1" x14ac:dyDescent="0.3">
      <c r="D532" s="2"/>
      <c r="E532" s="36"/>
      <c r="F532" s="37"/>
      <c r="G532" s="2"/>
      <c r="H532" s="2"/>
      <c r="I532" s="38"/>
      <c r="J532" s="39"/>
    </row>
    <row r="533" spans="4:10" ht="12.75" customHeight="1" x14ac:dyDescent="0.3">
      <c r="D533" s="2"/>
      <c r="E533" s="36"/>
      <c r="F533" s="37"/>
      <c r="G533" s="2"/>
      <c r="H533" s="2"/>
      <c r="I533" s="38"/>
      <c r="J533" s="39"/>
    </row>
    <row r="534" spans="4:10" ht="12.75" customHeight="1" x14ac:dyDescent="0.3">
      <c r="D534" s="2"/>
      <c r="E534" s="36"/>
      <c r="F534" s="37"/>
      <c r="G534" s="2"/>
      <c r="H534" s="2"/>
      <c r="I534" s="38"/>
      <c r="J534" s="39"/>
    </row>
    <row r="535" spans="4:10" ht="12.75" customHeight="1" x14ac:dyDescent="0.3">
      <c r="D535" s="2"/>
      <c r="E535" s="36"/>
      <c r="F535" s="37"/>
      <c r="G535" s="2"/>
      <c r="H535" s="2"/>
      <c r="I535" s="38"/>
      <c r="J535" s="39"/>
    </row>
    <row r="536" spans="4:10" ht="12.75" customHeight="1" x14ac:dyDescent="0.3">
      <c r="D536" s="2"/>
      <c r="E536" s="36"/>
      <c r="F536" s="37"/>
      <c r="G536" s="2"/>
      <c r="H536" s="2"/>
      <c r="I536" s="38"/>
      <c r="J536" s="39"/>
    </row>
    <row r="537" spans="4:10" ht="12.75" customHeight="1" x14ac:dyDescent="0.3">
      <c r="D537" s="2"/>
      <c r="E537" s="36"/>
      <c r="F537" s="37"/>
      <c r="G537" s="2"/>
      <c r="H537" s="2"/>
      <c r="I537" s="38"/>
      <c r="J537" s="39"/>
    </row>
    <row r="538" spans="4:10" ht="12.75" customHeight="1" x14ac:dyDescent="0.3">
      <c r="D538" s="2"/>
      <c r="E538" s="36"/>
      <c r="F538" s="37"/>
      <c r="G538" s="2"/>
      <c r="H538" s="2"/>
      <c r="I538" s="38"/>
      <c r="J538" s="39"/>
    </row>
    <row r="539" spans="4:10" ht="12.75" customHeight="1" x14ac:dyDescent="0.3">
      <c r="D539" s="2"/>
      <c r="E539" s="36"/>
      <c r="F539" s="37"/>
      <c r="G539" s="2"/>
      <c r="H539" s="2"/>
      <c r="I539" s="38"/>
      <c r="J539" s="39"/>
    </row>
    <row r="540" spans="4:10" ht="12.75" customHeight="1" x14ac:dyDescent="0.3">
      <c r="D540" s="2"/>
      <c r="E540" s="36"/>
      <c r="F540" s="37"/>
      <c r="G540" s="2"/>
      <c r="H540" s="2"/>
      <c r="I540" s="38"/>
      <c r="J540" s="39"/>
    </row>
    <row r="541" spans="4:10" ht="12.75" customHeight="1" x14ac:dyDescent="0.3">
      <c r="D541" s="2"/>
      <c r="E541" s="36"/>
      <c r="F541" s="37"/>
      <c r="G541" s="2"/>
      <c r="H541" s="2"/>
      <c r="I541" s="38"/>
      <c r="J541" s="39"/>
    </row>
    <row r="542" spans="4:10" ht="12.75" customHeight="1" x14ac:dyDescent="0.3">
      <c r="D542" s="2"/>
      <c r="E542" s="36"/>
      <c r="F542" s="37"/>
      <c r="G542" s="2"/>
      <c r="H542" s="2"/>
      <c r="I542" s="38"/>
      <c r="J542" s="39"/>
    </row>
    <row r="543" spans="4:10" ht="12.75" customHeight="1" x14ac:dyDescent="0.3">
      <c r="D543" s="2"/>
      <c r="E543" s="36"/>
      <c r="F543" s="37"/>
      <c r="G543" s="2"/>
      <c r="H543" s="2"/>
      <c r="I543" s="38"/>
      <c r="J543" s="39"/>
    </row>
    <row r="544" spans="4:10" ht="12.75" customHeight="1" x14ac:dyDescent="0.3">
      <c r="D544" s="2"/>
      <c r="E544" s="36"/>
      <c r="F544" s="37"/>
      <c r="G544" s="2"/>
      <c r="H544" s="2"/>
      <c r="I544" s="38"/>
      <c r="J544" s="39"/>
    </row>
    <row r="545" spans="4:10" ht="12.75" customHeight="1" x14ac:dyDescent="0.3">
      <c r="D545" s="2"/>
      <c r="E545" s="36"/>
      <c r="F545" s="37"/>
      <c r="G545" s="2"/>
      <c r="H545" s="2"/>
      <c r="I545" s="38"/>
      <c r="J545" s="39"/>
    </row>
    <row r="546" spans="4:10" ht="12.75" customHeight="1" x14ac:dyDescent="0.3">
      <c r="D546" s="2"/>
      <c r="E546" s="36"/>
      <c r="F546" s="37"/>
      <c r="G546" s="2"/>
      <c r="H546" s="2"/>
      <c r="I546" s="38"/>
      <c r="J546" s="39"/>
    </row>
    <row r="547" spans="4:10" ht="12.75" customHeight="1" x14ac:dyDescent="0.3">
      <c r="D547" s="2"/>
      <c r="E547" s="36"/>
      <c r="F547" s="37"/>
      <c r="G547" s="2"/>
      <c r="H547" s="2"/>
      <c r="I547" s="38"/>
      <c r="J547" s="39"/>
    </row>
    <row r="548" spans="4:10" ht="12.75" customHeight="1" x14ac:dyDescent="0.3">
      <c r="D548" s="2"/>
      <c r="E548" s="36"/>
      <c r="F548" s="37"/>
      <c r="G548" s="2"/>
      <c r="H548" s="2"/>
      <c r="I548" s="38"/>
      <c r="J548" s="39"/>
    </row>
    <row r="549" spans="4:10" ht="12.75" customHeight="1" x14ac:dyDescent="0.3">
      <c r="D549" s="2"/>
      <c r="E549" s="36"/>
      <c r="F549" s="37"/>
      <c r="G549" s="2"/>
      <c r="H549" s="2"/>
      <c r="I549" s="38"/>
      <c r="J549" s="39"/>
    </row>
    <row r="550" spans="4:10" ht="12.75" customHeight="1" x14ac:dyDescent="0.3">
      <c r="D550" s="2"/>
      <c r="E550" s="36"/>
      <c r="F550" s="37"/>
      <c r="G550" s="2"/>
      <c r="H550" s="2"/>
      <c r="I550" s="38"/>
      <c r="J550" s="39"/>
    </row>
    <row r="551" spans="4:10" ht="12.75" customHeight="1" x14ac:dyDescent="0.3">
      <c r="D551" s="2"/>
      <c r="E551" s="36"/>
      <c r="F551" s="37"/>
      <c r="G551" s="2"/>
      <c r="H551" s="2"/>
      <c r="I551" s="38"/>
      <c r="J551" s="39"/>
    </row>
    <row r="552" spans="4:10" ht="12.75" customHeight="1" x14ac:dyDescent="0.3">
      <c r="D552" s="2"/>
      <c r="E552" s="36"/>
      <c r="F552" s="37"/>
      <c r="G552" s="2"/>
      <c r="H552" s="2"/>
      <c r="I552" s="38"/>
      <c r="J552" s="39"/>
    </row>
    <row r="553" spans="4:10" ht="12.75" customHeight="1" x14ac:dyDescent="0.3">
      <c r="D553" s="2"/>
      <c r="E553" s="36"/>
      <c r="F553" s="37"/>
      <c r="G553" s="2"/>
      <c r="H553" s="2"/>
      <c r="I553" s="38"/>
      <c r="J553" s="39"/>
    </row>
    <row r="554" spans="4:10" ht="12.75" customHeight="1" x14ac:dyDescent="0.3">
      <c r="D554" s="2"/>
      <c r="E554" s="36"/>
      <c r="F554" s="37"/>
      <c r="G554" s="2"/>
      <c r="H554" s="2"/>
      <c r="I554" s="38"/>
      <c r="J554" s="39"/>
    </row>
    <row r="555" spans="4:10" ht="12.75" customHeight="1" x14ac:dyDescent="0.3">
      <c r="D555" s="2"/>
      <c r="E555" s="36"/>
      <c r="F555" s="37"/>
      <c r="G555" s="2"/>
      <c r="H555" s="2"/>
      <c r="I555" s="38"/>
      <c r="J555" s="39"/>
    </row>
    <row r="556" spans="4:10" ht="12.75" customHeight="1" x14ac:dyDescent="0.3">
      <c r="D556" s="2"/>
      <c r="E556" s="36"/>
      <c r="F556" s="37"/>
      <c r="G556" s="2"/>
      <c r="H556" s="2"/>
      <c r="I556" s="38"/>
      <c r="J556" s="39"/>
    </row>
    <row r="557" spans="4:10" ht="12.75" customHeight="1" x14ac:dyDescent="0.3">
      <c r="D557" s="2"/>
      <c r="E557" s="36"/>
      <c r="F557" s="37"/>
      <c r="G557" s="2"/>
      <c r="H557" s="2"/>
      <c r="I557" s="38"/>
      <c r="J557" s="39"/>
    </row>
    <row r="558" spans="4:10" ht="12.75" customHeight="1" x14ac:dyDescent="0.3">
      <c r="D558" s="2"/>
      <c r="E558" s="36"/>
      <c r="F558" s="37"/>
      <c r="G558" s="2"/>
      <c r="H558" s="2"/>
      <c r="I558" s="38"/>
      <c r="J558" s="39"/>
    </row>
    <row r="559" spans="4:10" ht="12.75" customHeight="1" x14ac:dyDescent="0.3">
      <c r="D559" s="2"/>
      <c r="E559" s="36"/>
      <c r="F559" s="37"/>
      <c r="G559" s="2"/>
      <c r="H559" s="2"/>
      <c r="I559" s="38"/>
      <c r="J559" s="39"/>
    </row>
    <row r="560" spans="4:10" ht="12.75" customHeight="1" x14ac:dyDescent="0.3">
      <c r="D560" s="2"/>
      <c r="E560" s="36"/>
      <c r="F560" s="37"/>
      <c r="G560" s="2"/>
      <c r="H560" s="2"/>
      <c r="I560" s="38"/>
      <c r="J560" s="39"/>
    </row>
    <row r="561" spans="4:10" ht="12.75" customHeight="1" x14ac:dyDescent="0.3">
      <c r="D561" s="2"/>
      <c r="E561" s="36"/>
      <c r="F561" s="37"/>
      <c r="G561" s="2"/>
      <c r="H561" s="2"/>
      <c r="I561" s="38"/>
      <c r="J561" s="39"/>
    </row>
    <row r="562" spans="4:10" ht="12.75" customHeight="1" x14ac:dyDescent="0.3">
      <c r="D562" s="2"/>
      <c r="E562" s="36"/>
      <c r="F562" s="37"/>
      <c r="G562" s="2"/>
      <c r="H562" s="2"/>
      <c r="I562" s="38"/>
      <c r="J562" s="39"/>
    </row>
    <row r="563" spans="4:10" ht="12.75" customHeight="1" x14ac:dyDescent="0.3">
      <c r="D563" s="2"/>
      <c r="E563" s="36"/>
      <c r="F563" s="37"/>
      <c r="G563" s="2"/>
      <c r="H563" s="2"/>
      <c r="I563" s="38"/>
      <c r="J563" s="39"/>
    </row>
    <row r="564" spans="4:10" ht="12.75" customHeight="1" x14ac:dyDescent="0.3">
      <c r="D564" s="2"/>
      <c r="E564" s="36"/>
      <c r="F564" s="37"/>
      <c r="G564" s="2"/>
      <c r="H564" s="2"/>
      <c r="I564" s="38"/>
      <c r="J564" s="39"/>
    </row>
    <row r="565" spans="4:10" ht="12.75" customHeight="1" x14ac:dyDescent="0.3">
      <c r="D565" s="2"/>
      <c r="E565" s="36"/>
      <c r="F565" s="37"/>
      <c r="G565" s="2"/>
      <c r="H565" s="2"/>
      <c r="I565" s="38"/>
      <c r="J565" s="39"/>
    </row>
    <row r="566" spans="4:10" ht="12.75" customHeight="1" x14ac:dyDescent="0.3">
      <c r="D566" s="2"/>
      <c r="E566" s="36"/>
      <c r="F566" s="37"/>
      <c r="G566" s="2"/>
      <c r="H566" s="2"/>
      <c r="I566" s="38"/>
      <c r="J566" s="39"/>
    </row>
    <row r="567" spans="4:10" ht="12.75" customHeight="1" x14ac:dyDescent="0.3">
      <c r="D567" s="2"/>
      <c r="E567" s="36"/>
      <c r="F567" s="37"/>
      <c r="G567" s="2"/>
      <c r="H567" s="2"/>
      <c r="I567" s="38"/>
      <c r="J567" s="39"/>
    </row>
    <row r="568" spans="4:10" ht="12.75" customHeight="1" x14ac:dyDescent="0.3">
      <c r="D568" s="2"/>
      <c r="E568" s="36"/>
      <c r="F568" s="37"/>
      <c r="G568" s="2"/>
      <c r="H568" s="2"/>
      <c r="I568" s="38"/>
      <c r="J568" s="39"/>
    </row>
    <row r="569" spans="4:10" ht="12.75" customHeight="1" x14ac:dyDescent="0.3">
      <c r="D569" s="2"/>
      <c r="E569" s="36"/>
      <c r="F569" s="37"/>
      <c r="G569" s="2"/>
      <c r="H569" s="2"/>
      <c r="I569" s="38"/>
      <c r="J569" s="39"/>
    </row>
    <row r="570" spans="4:10" ht="12.75" customHeight="1" x14ac:dyDescent="0.3">
      <c r="D570" s="2"/>
      <c r="E570" s="36"/>
      <c r="F570" s="37"/>
      <c r="G570" s="2"/>
      <c r="H570" s="2"/>
      <c r="I570" s="38"/>
      <c r="J570" s="39"/>
    </row>
    <row r="571" spans="4:10" ht="12.75" customHeight="1" x14ac:dyDescent="0.3">
      <c r="D571" s="2"/>
      <c r="E571" s="36"/>
      <c r="F571" s="37"/>
      <c r="G571" s="2"/>
      <c r="H571" s="2"/>
      <c r="I571" s="38"/>
      <c r="J571" s="39"/>
    </row>
    <row r="572" spans="4:10" ht="12.75" customHeight="1" x14ac:dyDescent="0.3">
      <c r="D572" s="2"/>
      <c r="E572" s="36"/>
      <c r="F572" s="37"/>
      <c r="G572" s="2"/>
      <c r="H572" s="2"/>
      <c r="I572" s="38"/>
      <c r="J572" s="39"/>
    </row>
    <row r="573" spans="4:10" ht="12.75" customHeight="1" x14ac:dyDescent="0.3">
      <c r="D573" s="2"/>
      <c r="E573" s="36"/>
      <c r="F573" s="37"/>
      <c r="G573" s="2"/>
      <c r="H573" s="2"/>
      <c r="I573" s="38"/>
      <c r="J573" s="39"/>
    </row>
    <row r="574" spans="4:10" ht="12.75" customHeight="1" x14ac:dyDescent="0.3">
      <c r="D574" s="2"/>
      <c r="E574" s="36"/>
      <c r="F574" s="37"/>
      <c r="G574" s="2"/>
      <c r="H574" s="2"/>
      <c r="I574" s="38"/>
      <c r="J574" s="39"/>
    </row>
    <row r="575" spans="4:10" ht="12.75" customHeight="1" x14ac:dyDescent="0.3">
      <c r="D575" s="2"/>
      <c r="E575" s="36"/>
      <c r="F575" s="37"/>
      <c r="G575" s="2"/>
      <c r="H575" s="2"/>
      <c r="I575" s="38"/>
      <c r="J575" s="39"/>
    </row>
    <row r="576" spans="4:10" ht="12.75" customHeight="1" x14ac:dyDescent="0.3">
      <c r="D576" s="2"/>
      <c r="E576" s="36"/>
      <c r="F576" s="37"/>
      <c r="G576" s="2"/>
      <c r="H576" s="2"/>
      <c r="I576" s="38"/>
      <c r="J576" s="39"/>
    </row>
    <row r="577" spans="4:10" ht="12.75" customHeight="1" x14ac:dyDescent="0.3">
      <c r="D577" s="2"/>
      <c r="E577" s="36"/>
      <c r="F577" s="37"/>
      <c r="G577" s="2"/>
      <c r="H577" s="2"/>
      <c r="I577" s="38"/>
      <c r="J577" s="39"/>
    </row>
    <row r="578" spans="4:10" ht="12.75" customHeight="1" x14ac:dyDescent="0.3">
      <c r="D578" s="2"/>
      <c r="E578" s="36"/>
      <c r="F578" s="37"/>
      <c r="G578" s="2"/>
      <c r="H578" s="2"/>
      <c r="I578" s="38"/>
      <c r="J578" s="39"/>
    </row>
    <row r="579" spans="4:10" ht="12.75" customHeight="1" x14ac:dyDescent="0.3">
      <c r="D579" s="2"/>
      <c r="E579" s="36"/>
      <c r="F579" s="37"/>
      <c r="G579" s="2"/>
      <c r="H579" s="2"/>
      <c r="I579" s="38"/>
      <c r="J579" s="39"/>
    </row>
    <row r="580" spans="4:10" ht="12.75" customHeight="1" x14ac:dyDescent="0.3">
      <c r="D580" s="2"/>
      <c r="E580" s="36"/>
      <c r="F580" s="37"/>
      <c r="G580" s="2"/>
      <c r="H580" s="2"/>
      <c r="I580" s="38"/>
      <c r="J580" s="39"/>
    </row>
    <row r="581" spans="4:10" ht="12.75" customHeight="1" x14ac:dyDescent="0.3">
      <c r="D581" s="2"/>
      <c r="E581" s="36"/>
      <c r="F581" s="37"/>
      <c r="G581" s="2"/>
      <c r="H581" s="2"/>
      <c r="I581" s="38"/>
      <c r="J581" s="39"/>
    </row>
    <row r="582" spans="4:10" ht="12.75" customHeight="1" x14ac:dyDescent="0.3">
      <c r="D582" s="2"/>
      <c r="E582" s="36"/>
      <c r="F582" s="37"/>
      <c r="G582" s="2"/>
      <c r="H582" s="2"/>
      <c r="I582" s="38"/>
      <c r="J582" s="39"/>
    </row>
    <row r="583" spans="4:10" ht="12.75" customHeight="1" x14ac:dyDescent="0.3">
      <c r="D583" s="2"/>
      <c r="E583" s="36"/>
      <c r="F583" s="37"/>
      <c r="G583" s="2"/>
      <c r="H583" s="2"/>
      <c r="I583" s="38"/>
      <c r="J583" s="39"/>
    </row>
    <row r="584" spans="4:10" ht="12.75" customHeight="1" x14ac:dyDescent="0.3">
      <c r="D584" s="2"/>
      <c r="E584" s="36"/>
      <c r="F584" s="37"/>
      <c r="G584" s="2"/>
      <c r="H584" s="2"/>
      <c r="I584" s="38"/>
      <c r="J584" s="39"/>
    </row>
    <row r="585" spans="4:10" ht="12.75" customHeight="1" x14ac:dyDescent="0.3">
      <c r="D585" s="2"/>
      <c r="E585" s="36"/>
      <c r="F585" s="37"/>
      <c r="G585" s="2"/>
      <c r="H585" s="2"/>
      <c r="I585" s="38"/>
      <c r="J585" s="39"/>
    </row>
    <row r="586" spans="4:10" ht="12.75" customHeight="1" x14ac:dyDescent="0.3">
      <c r="D586" s="2"/>
      <c r="E586" s="36"/>
      <c r="F586" s="37"/>
      <c r="G586" s="2"/>
      <c r="H586" s="2"/>
      <c r="I586" s="38"/>
      <c r="J586" s="39"/>
    </row>
    <row r="587" spans="4:10" ht="12.75" customHeight="1" x14ac:dyDescent="0.3">
      <c r="D587" s="2"/>
      <c r="E587" s="36"/>
      <c r="F587" s="37"/>
      <c r="G587" s="2"/>
      <c r="H587" s="2"/>
      <c r="I587" s="38"/>
      <c r="J587" s="39"/>
    </row>
    <row r="588" spans="4:10" ht="12.75" customHeight="1" x14ac:dyDescent="0.3">
      <c r="D588" s="2"/>
      <c r="E588" s="36"/>
      <c r="F588" s="37"/>
      <c r="G588" s="2"/>
      <c r="H588" s="2"/>
      <c r="I588" s="38"/>
      <c r="J588" s="39"/>
    </row>
    <row r="589" spans="4:10" ht="12.75" customHeight="1" x14ac:dyDescent="0.3">
      <c r="D589" s="2"/>
      <c r="E589" s="36"/>
      <c r="F589" s="37"/>
      <c r="G589" s="2"/>
      <c r="H589" s="2"/>
      <c r="I589" s="38"/>
      <c r="J589" s="39"/>
    </row>
    <row r="590" spans="4:10" ht="12.75" customHeight="1" x14ac:dyDescent="0.3">
      <c r="D590" s="2"/>
      <c r="E590" s="36"/>
      <c r="F590" s="37"/>
      <c r="G590" s="2"/>
      <c r="H590" s="2"/>
      <c r="I590" s="38"/>
      <c r="J590" s="39"/>
    </row>
    <row r="591" spans="4:10" ht="12.75" customHeight="1" x14ac:dyDescent="0.3">
      <c r="D591" s="2"/>
      <c r="E591" s="36"/>
      <c r="F591" s="37"/>
      <c r="G591" s="2"/>
      <c r="H591" s="2"/>
      <c r="I591" s="38"/>
      <c r="J591" s="39"/>
    </row>
    <row r="592" spans="4:10" ht="12.75" customHeight="1" x14ac:dyDescent="0.3">
      <c r="D592" s="2"/>
      <c r="E592" s="36"/>
      <c r="F592" s="37"/>
      <c r="G592" s="2"/>
      <c r="H592" s="2"/>
      <c r="I592" s="38"/>
      <c r="J592" s="39"/>
    </row>
    <row r="593" spans="4:10" ht="12.75" customHeight="1" x14ac:dyDescent="0.3">
      <c r="D593" s="2"/>
      <c r="E593" s="36"/>
      <c r="F593" s="37"/>
      <c r="G593" s="2"/>
      <c r="H593" s="2"/>
      <c r="I593" s="38"/>
      <c r="J593" s="39"/>
    </row>
    <row r="594" spans="4:10" ht="12.75" customHeight="1" x14ac:dyDescent="0.3">
      <c r="D594" s="2"/>
      <c r="E594" s="36"/>
      <c r="F594" s="37"/>
      <c r="G594" s="2"/>
      <c r="H594" s="2"/>
      <c r="I594" s="38"/>
      <c r="J594" s="39"/>
    </row>
    <row r="595" spans="4:10" ht="12.75" customHeight="1" x14ac:dyDescent="0.3">
      <c r="D595" s="2"/>
      <c r="E595" s="36"/>
      <c r="F595" s="37"/>
      <c r="G595" s="2"/>
      <c r="H595" s="2"/>
      <c r="I595" s="38"/>
      <c r="J595" s="39"/>
    </row>
    <row r="596" spans="4:10" ht="12.75" customHeight="1" x14ac:dyDescent="0.3">
      <c r="D596" s="2"/>
      <c r="E596" s="36"/>
      <c r="F596" s="37"/>
      <c r="G596" s="2"/>
      <c r="H596" s="2"/>
      <c r="I596" s="38"/>
      <c r="J596" s="39"/>
    </row>
    <row r="597" spans="4:10" ht="12.75" customHeight="1" x14ac:dyDescent="0.3">
      <c r="D597" s="2"/>
      <c r="E597" s="36"/>
      <c r="F597" s="37"/>
      <c r="G597" s="2"/>
      <c r="H597" s="2"/>
      <c r="I597" s="38"/>
      <c r="J597" s="39"/>
    </row>
    <row r="598" spans="4:10" ht="12.75" customHeight="1" x14ac:dyDescent="0.3">
      <c r="D598" s="2"/>
      <c r="E598" s="36"/>
      <c r="F598" s="37"/>
      <c r="G598" s="2"/>
      <c r="H598" s="2"/>
      <c r="I598" s="38"/>
      <c r="J598" s="39"/>
    </row>
    <row r="599" spans="4:10" ht="12.75" customHeight="1" x14ac:dyDescent="0.3">
      <c r="D599" s="2"/>
      <c r="E599" s="36"/>
      <c r="F599" s="37"/>
      <c r="G599" s="2"/>
      <c r="H599" s="2"/>
      <c r="I599" s="38"/>
      <c r="J599" s="39"/>
    </row>
    <row r="600" spans="4:10" ht="12.75" customHeight="1" x14ac:dyDescent="0.3">
      <c r="D600" s="2"/>
      <c r="E600" s="36"/>
      <c r="F600" s="37"/>
      <c r="G600" s="2"/>
      <c r="H600" s="2"/>
      <c r="I600" s="38"/>
      <c r="J600" s="39"/>
    </row>
    <row r="601" spans="4:10" ht="12.75" customHeight="1" x14ac:dyDescent="0.3">
      <c r="D601" s="2"/>
      <c r="E601" s="36"/>
      <c r="F601" s="37"/>
      <c r="G601" s="2"/>
      <c r="H601" s="2"/>
      <c r="I601" s="38"/>
      <c r="J601" s="39"/>
    </row>
    <row r="602" spans="4:10" ht="12.75" customHeight="1" x14ac:dyDescent="0.3">
      <c r="D602" s="2"/>
      <c r="E602" s="36"/>
      <c r="F602" s="37"/>
      <c r="G602" s="2"/>
      <c r="H602" s="2"/>
      <c r="I602" s="38"/>
      <c r="J602" s="39"/>
    </row>
    <row r="603" spans="4:10" ht="12.75" customHeight="1" x14ac:dyDescent="0.3">
      <c r="D603" s="2"/>
      <c r="E603" s="36"/>
      <c r="F603" s="37"/>
      <c r="G603" s="2"/>
      <c r="H603" s="2"/>
      <c r="I603" s="38"/>
      <c r="J603" s="39"/>
    </row>
    <row r="604" spans="4:10" ht="12.75" customHeight="1" x14ac:dyDescent="0.3">
      <c r="D604" s="2"/>
      <c r="E604" s="36"/>
      <c r="F604" s="37"/>
      <c r="G604" s="2"/>
      <c r="H604" s="2"/>
      <c r="I604" s="38"/>
      <c r="J604" s="39"/>
    </row>
    <row r="605" spans="4:10" ht="12.75" customHeight="1" x14ac:dyDescent="0.3">
      <c r="D605" s="2"/>
      <c r="E605" s="36"/>
      <c r="F605" s="37"/>
      <c r="G605" s="2"/>
      <c r="H605" s="2"/>
      <c r="I605" s="38"/>
      <c r="J605" s="39"/>
    </row>
    <row r="606" spans="4:10" ht="12.75" customHeight="1" x14ac:dyDescent="0.3">
      <c r="D606" s="2"/>
      <c r="E606" s="36"/>
      <c r="F606" s="37"/>
      <c r="G606" s="2"/>
      <c r="H606" s="2"/>
      <c r="I606" s="38"/>
      <c r="J606" s="39"/>
    </row>
    <row r="607" spans="4:10" ht="12.75" customHeight="1" x14ac:dyDescent="0.3">
      <c r="D607" s="2"/>
      <c r="E607" s="36"/>
      <c r="F607" s="37"/>
      <c r="G607" s="2"/>
      <c r="H607" s="2"/>
      <c r="I607" s="38"/>
      <c r="J607" s="39"/>
    </row>
    <row r="608" spans="4:10" ht="12.75" customHeight="1" x14ac:dyDescent="0.3">
      <c r="D608" s="2"/>
      <c r="E608" s="36"/>
      <c r="F608" s="37"/>
      <c r="G608" s="2"/>
      <c r="H608" s="2"/>
      <c r="I608" s="38"/>
      <c r="J608" s="39"/>
    </row>
    <row r="609" spans="4:10" ht="12.75" customHeight="1" x14ac:dyDescent="0.3">
      <c r="D609" s="2"/>
      <c r="E609" s="36"/>
      <c r="F609" s="37"/>
      <c r="G609" s="2"/>
      <c r="H609" s="2"/>
      <c r="I609" s="38"/>
      <c r="J609" s="39"/>
    </row>
    <row r="610" spans="4:10" ht="12.75" customHeight="1" x14ac:dyDescent="0.3">
      <c r="D610" s="2"/>
      <c r="E610" s="36"/>
      <c r="F610" s="37"/>
      <c r="G610" s="2"/>
      <c r="H610" s="2"/>
      <c r="I610" s="38"/>
      <c r="J610" s="39"/>
    </row>
    <row r="611" spans="4:10" ht="12.75" customHeight="1" x14ac:dyDescent="0.3">
      <c r="D611" s="2"/>
      <c r="E611" s="36"/>
      <c r="F611" s="37"/>
      <c r="G611" s="2"/>
      <c r="H611" s="2"/>
      <c r="I611" s="38"/>
      <c r="J611" s="39"/>
    </row>
    <row r="612" spans="4:10" ht="12.75" customHeight="1" x14ac:dyDescent="0.3">
      <c r="D612" s="2"/>
      <c r="E612" s="36"/>
      <c r="F612" s="37"/>
      <c r="G612" s="2"/>
      <c r="H612" s="2"/>
      <c r="I612" s="38"/>
      <c r="J612" s="39"/>
    </row>
    <row r="613" spans="4:10" ht="12.75" customHeight="1" x14ac:dyDescent="0.3">
      <c r="D613" s="2"/>
      <c r="E613" s="36"/>
      <c r="F613" s="37"/>
      <c r="G613" s="2"/>
      <c r="H613" s="2"/>
      <c r="I613" s="38"/>
      <c r="J613" s="39"/>
    </row>
    <row r="614" spans="4:10" ht="12.75" customHeight="1" x14ac:dyDescent="0.3">
      <c r="D614" s="2"/>
      <c r="E614" s="36"/>
      <c r="F614" s="37"/>
      <c r="G614" s="2"/>
      <c r="H614" s="2"/>
      <c r="I614" s="38"/>
      <c r="J614" s="39"/>
    </row>
    <row r="615" spans="4:10" ht="12.75" customHeight="1" x14ac:dyDescent="0.3">
      <c r="D615" s="2"/>
      <c r="E615" s="36"/>
      <c r="F615" s="37"/>
      <c r="G615" s="2"/>
      <c r="H615" s="2"/>
      <c r="I615" s="38"/>
      <c r="J615" s="39"/>
    </row>
    <row r="616" spans="4:10" ht="12.75" customHeight="1" x14ac:dyDescent="0.3">
      <c r="D616" s="2"/>
      <c r="E616" s="36"/>
      <c r="F616" s="37"/>
      <c r="G616" s="2"/>
      <c r="H616" s="2"/>
      <c r="I616" s="38"/>
      <c r="J616" s="39"/>
    </row>
    <row r="617" spans="4:10" ht="12.75" customHeight="1" x14ac:dyDescent="0.3">
      <c r="D617" s="2"/>
      <c r="E617" s="36"/>
      <c r="F617" s="37"/>
      <c r="G617" s="2"/>
      <c r="H617" s="2"/>
      <c r="I617" s="38"/>
      <c r="J617" s="39"/>
    </row>
    <row r="618" spans="4:10" ht="12.75" customHeight="1" x14ac:dyDescent="0.3">
      <c r="D618" s="2"/>
      <c r="E618" s="36"/>
      <c r="F618" s="37"/>
      <c r="G618" s="2"/>
      <c r="H618" s="2"/>
      <c r="I618" s="38"/>
      <c r="J618" s="39"/>
    </row>
    <row r="619" spans="4:10" ht="12.75" customHeight="1" x14ac:dyDescent="0.3">
      <c r="D619" s="2"/>
      <c r="E619" s="36"/>
      <c r="F619" s="37"/>
      <c r="G619" s="2"/>
      <c r="H619" s="2"/>
      <c r="I619" s="38"/>
      <c r="J619" s="39"/>
    </row>
    <row r="620" spans="4:10" ht="12.75" customHeight="1" x14ac:dyDescent="0.3">
      <c r="D620" s="2"/>
      <c r="E620" s="36"/>
      <c r="F620" s="37"/>
      <c r="G620" s="2"/>
      <c r="H620" s="2"/>
      <c r="I620" s="38"/>
      <c r="J620" s="39"/>
    </row>
    <row r="621" spans="4:10" ht="12.75" customHeight="1" x14ac:dyDescent="0.3">
      <c r="D621" s="2"/>
      <c r="E621" s="36"/>
      <c r="F621" s="37"/>
      <c r="G621" s="2"/>
      <c r="H621" s="2"/>
      <c r="I621" s="38"/>
      <c r="J621" s="39"/>
    </row>
    <row r="622" spans="4:10" ht="12.75" customHeight="1" x14ac:dyDescent="0.3">
      <c r="D622" s="2"/>
      <c r="E622" s="36"/>
      <c r="F622" s="37"/>
      <c r="G622" s="2"/>
      <c r="H622" s="2"/>
      <c r="I622" s="38"/>
      <c r="J622" s="39"/>
    </row>
    <row r="623" spans="4:10" ht="12.75" customHeight="1" x14ac:dyDescent="0.3">
      <c r="D623" s="2"/>
      <c r="E623" s="36"/>
      <c r="F623" s="37"/>
      <c r="G623" s="2"/>
      <c r="H623" s="2"/>
      <c r="I623" s="38"/>
      <c r="J623" s="39"/>
    </row>
    <row r="624" spans="4:10" ht="12.75" customHeight="1" x14ac:dyDescent="0.3">
      <c r="D624" s="2"/>
      <c r="E624" s="36"/>
      <c r="F624" s="37"/>
      <c r="G624" s="2"/>
      <c r="H624" s="2"/>
      <c r="I624" s="38"/>
      <c r="J624" s="39"/>
    </row>
    <row r="625" spans="4:10" ht="12.75" customHeight="1" x14ac:dyDescent="0.3">
      <c r="D625" s="2"/>
      <c r="E625" s="36"/>
      <c r="F625" s="37"/>
      <c r="G625" s="2"/>
      <c r="H625" s="2"/>
      <c r="I625" s="38"/>
      <c r="J625" s="39"/>
    </row>
    <row r="626" spans="4:10" ht="12.75" customHeight="1" x14ac:dyDescent="0.3">
      <c r="D626" s="2"/>
      <c r="E626" s="36"/>
      <c r="F626" s="37"/>
      <c r="G626" s="2"/>
      <c r="H626" s="2"/>
      <c r="I626" s="38"/>
      <c r="J626" s="39"/>
    </row>
    <row r="627" spans="4:10" ht="12.75" customHeight="1" x14ac:dyDescent="0.3">
      <c r="D627" s="2"/>
      <c r="E627" s="36"/>
      <c r="F627" s="37"/>
      <c r="G627" s="2"/>
      <c r="H627" s="2"/>
      <c r="I627" s="38"/>
      <c r="J627" s="39"/>
    </row>
    <row r="628" spans="4:10" ht="12.75" customHeight="1" x14ac:dyDescent="0.3">
      <c r="D628" s="2"/>
      <c r="E628" s="36"/>
      <c r="F628" s="37"/>
      <c r="G628" s="2"/>
      <c r="H628" s="2"/>
      <c r="I628" s="38"/>
      <c r="J628" s="39"/>
    </row>
    <row r="629" spans="4:10" ht="12.75" customHeight="1" x14ac:dyDescent="0.3">
      <c r="D629" s="2"/>
      <c r="E629" s="36"/>
      <c r="F629" s="37"/>
      <c r="G629" s="2"/>
      <c r="H629" s="2"/>
      <c r="I629" s="38"/>
      <c r="J629" s="39"/>
    </row>
    <row r="630" spans="4:10" ht="12.75" customHeight="1" x14ac:dyDescent="0.3">
      <c r="D630" s="2"/>
      <c r="E630" s="36"/>
      <c r="F630" s="37"/>
      <c r="G630" s="2"/>
      <c r="H630" s="2"/>
      <c r="I630" s="38"/>
      <c r="J630" s="39"/>
    </row>
    <row r="631" spans="4:10" ht="12.75" customHeight="1" x14ac:dyDescent="0.3">
      <c r="D631" s="2"/>
      <c r="E631" s="36"/>
      <c r="F631" s="37"/>
      <c r="G631" s="2"/>
      <c r="H631" s="2"/>
      <c r="I631" s="38"/>
      <c r="J631" s="39"/>
    </row>
    <row r="632" spans="4:10" ht="12.75" customHeight="1" x14ac:dyDescent="0.3">
      <c r="D632" s="2"/>
      <c r="E632" s="36"/>
      <c r="F632" s="37"/>
      <c r="G632" s="2"/>
      <c r="H632" s="2"/>
      <c r="I632" s="38"/>
      <c r="J632" s="39"/>
    </row>
    <row r="633" spans="4:10" ht="12.75" customHeight="1" x14ac:dyDescent="0.3">
      <c r="D633" s="2"/>
      <c r="E633" s="36"/>
      <c r="F633" s="37"/>
      <c r="G633" s="2"/>
      <c r="H633" s="2"/>
      <c r="I633" s="38"/>
      <c r="J633" s="39"/>
    </row>
    <row r="634" spans="4:10" ht="12.75" customHeight="1" x14ac:dyDescent="0.3">
      <c r="D634" s="2"/>
      <c r="E634" s="36"/>
      <c r="F634" s="37"/>
      <c r="G634" s="2"/>
      <c r="H634" s="2"/>
      <c r="I634" s="38"/>
      <c r="J634" s="39"/>
    </row>
    <row r="635" spans="4:10" ht="12.75" customHeight="1" x14ac:dyDescent="0.3">
      <c r="D635" s="2"/>
      <c r="E635" s="36"/>
      <c r="F635" s="37"/>
      <c r="G635" s="2"/>
      <c r="H635" s="2"/>
      <c r="I635" s="38"/>
      <c r="J635" s="39"/>
    </row>
    <row r="636" spans="4:10" ht="12.75" customHeight="1" x14ac:dyDescent="0.3">
      <c r="D636" s="2"/>
      <c r="E636" s="36"/>
      <c r="F636" s="37"/>
      <c r="G636" s="2"/>
      <c r="H636" s="2"/>
      <c r="I636" s="38"/>
      <c r="J636" s="39"/>
    </row>
    <row r="637" spans="4:10" ht="12.75" customHeight="1" x14ac:dyDescent="0.3">
      <c r="D637" s="2"/>
      <c r="E637" s="36"/>
      <c r="F637" s="37"/>
      <c r="G637" s="2"/>
      <c r="H637" s="2"/>
      <c r="I637" s="38"/>
      <c r="J637" s="39"/>
    </row>
    <row r="638" spans="4:10" ht="12.75" customHeight="1" x14ac:dyDescent="0.3">
      <c r="D638" s="2"/>
      <c r="E638" s="36"/>
      <c r="F638" s="37"/>
      <c r="G638" s="2"/>
      <c r="H638" s="2"/>
      <c r="I638" s="38"/>
      <c r="J638" s="39"/>
    </row>
    <row r="639" spans="4:10" ht="12.75" customHeight="1" x14ac:dyDescent="0.3">
      <c r="D639" s="2"/>
      <c r="E639" s="36"/>
      <c r="F639" s="37"/>
      <c r="G639" s="2"/>
      <c r="H639" s="2"/>
      <c r="I639" s="38"/>
      <c r="J639" s="39"/>
    </row>
    <row r="640" spans="4:10" ht="12.75" customHeight="1" x14ac:dyDescent="0.3">
      <c r="D640" s="2"/>
      <c r="E640" s="36"/>
      <c r="F640" s="37"/>
      <c r="G640" s="2"/>
      <c r="H640" s="2"/>
      <c r="I640" s="38"/>
      <c r="J640" s="39"/>
    </row>
    <row r="641" spans="4:10" ht="12.75" customHeight="1" x14ac:dyDescent="0.3">
      <c r="D641" s="2"/>
      <c r="E641" s="36"/>
      <c r="F641" s="37"/>
      <c r="G641" s="2"/>
      <c r="H641" s="2"/>
      <c r="I641" s="38"/>
      <c r="J641" s="39"/>
    </row>
    <row r="642" spans="4:10" ht="12.75" customHeight="1" x14ac:dyDescent="0.3">
      <c r="D642" s="2"/>
      <c r="E642" s="36"/>
      <c r="F642" s="37"/>
      <c r="G642" s="2"/>
      <c r="H642" s="2"/>
      <c r="I642" s="38"/>
      <c r="J642" s="39"/>
    </row>
    <row r="643" spans="4:10" ht="12.75" customHeight="1" x14ac:dyDescent="0.3">
      <c r="D643" s="2"/>
      <c r="E643" s="36"/>
      <c r="F643" s="37"/>
      <c r="G643" s="2"/>
      <c r="H643" s="2"/>
      <c r="I643" s="38"/>
      <c r="J643" s="39"/>
    </row>
    <row r="644" spans="4:10" ht="12.75" customHeight="1" x14ac:dyDescent="0.3">
      <c r="D644" s="2"/>
      <c r="E644" s="36"/>
      <c r="F644" s="37"/>
      <c r="G644" s="2"/>
      <c r="H644" s="2"/>
      <c r="I644" s="38"/>
      <c r="J644" s="39"/>
    </row>
    <row r="645" spans="4:10" ht="12.75" customHeight="1" x14ac:dyDescent="0.3">
      <c r="D645" s="2"/>
      <c r="E645" s="36"/>
      <c r="F645" s="37"/>
      <c r="G645" s="2"/>
      <c r="H645" s="2"/>
      <c r="I645" s="38"/>
      <c r="J645" s="39"/>
    </row>
    <row r="646" spans="4:10" ht="12.75" customHeight="1" x14ac:dyDescent="0.3">
      <c r="D646" s="2"/>
      <c r="E646" s="36"/>
      <c r="F646" s="37"/>
      <c r="G646" s="2"/>
      <c r="H646" s="2"/>
      <c r="I646" s="38"/>
      <c r="J646" s="39"/>
    </row>
    <row r="647" spans="4:10" ht="12.75" customHeight="1" x14ac:dyDescent="0.3">
      <c r="D647" s="2"/>
      <c r="E647" s="36"/>
      <c r="F647" s="37"/>
      <c r="G647" s="2"/>
      <c r="H647" s="2"/>
      <c r="I647" s="38"/>
      <c r="J647" s="39"/>
    </row>
    <row r="648" spans="4:10" ht="12.75" customHeight="1" x14ac:dyDescent="0.3">
      <c r="D648" s="2"/>
      <c r="E648" s="36"/>
      <c r="F648" s="37"/>
      <c r="G648" s="2"/>
      <c r="H648" s="2"/>
      <c r="I648" s="38"/>
      <c r="J648" s="39"/>
    </row>
    <row r="649" spans="4:10" ht="12.75" customHeight="1" x14ac:dyDescent="0.3">
      <c r="D649" s="2"/>
      <c r="E649" s="36"/>
      <c r="F649" s="37"/>
      <c r="G649" s="2"/>
      <c r="H649" s="2"/>
      <c r="I649" s="38"/>
      <c r="J649" s="39"/>
    </row>
    <row r="650" spans="4:10" ht="12.75" customHeight="1" x14ac:dyDescent="0.3">
      <c r="D650" s="2"/>
      <c r="E650" s="36"/>
      <c r="F650" s="37"/>
      <c r="G650" s="2"/>
      <c r="H650" s="2"/>
      <c r="I650" s="38"/>
      <c r="J650" s="39"/>
    </row>
    <row r="651" spans="4:10" ht="12.75" customHeight="1" x14ac:dyDescent="0.3">
      <c r="D651" s="2"/>
      <c r="E651" s="36"/>
      <c r="F651" s="37"/>
      <c r="G651" s="2"/>
      <c r="H651" s="2"/>
      <c r="I651" s="38"/>
      <c r="J651" s="39"/>
    </row>
    <row r="652" spans="4:10" ht="12.75" customHeight="1" x14ac:dyDescent="0.3">
      <c r="D652" s="2"/>
      <c r="E652" s="36"/>
      <c r="F652" s="37"/>
      <c r="G652" s="2"/>
      <c r="H652" s="2"/>
      <c r="I652" s="38"/>
      <c r="J652" s="39"/>
    </row>
    <row r="653" spans="4:10" ht="12.75" customHeight="1" x14ac:dyDescent="0.3">
      <c r="D653" s="2"/>
      <c r="E653" s="36"/>
      <c r="F653" s="37"/>
      <c r="G653" s="2"/>
      <c r="H653" s="2"/>
      <c r="I653" s="38"/>
      <c r="J653" s="39"/>
    </row>
    <row r="654" spans="4:10" ht="12.75" customHeight="1" x14ac:dyDescent="0.3">
      <c r="D654" s="2"/>
      <c r="E654" s="36"/>
      <c r="F654" s="37"/>
      <c r="G654" s="2"/>
      <c r="H654" s="2"/>
      <c r="I654" s="38"/>
      <c r="J654" s="39"/>
    </row>
    <row r="655" spans="4:10" ht="12.75" customHeight="1" x14ac:dyDescent="0.3">
      <c r="D655" s="2"/>
      <c r="E655" s="36"/>
      <c r="F655" s="37"/>
      <c r="G655" s="2"/>
      <c r="H655" s="2"/>
      <c r="I655" s="38"/>
      <c r="J655" s="39"/>
    </row>
    <row r="656" spans="4:10" ht="12.75" customHeight="1" x14ac:dyDescent="0.3">
      <c r="D656" s="2"/>
      <c r="E656" s="36"/>
      <c r="F656" s="37"/>
      <c r="G656" s="2"/>
      <c r="H656" s="2"/>
      <c r="I656" s="38"/>
      <c r="J656" s="39"/>
    </row>
    <row r="657" spans="4:10" ht="12.75" customHeight="1" x14ac:dyDescent="0.3">
      <c r="D657" s="2"/>
      <c r="E657" s="36"/>
      <c r="F657" s="37"/>
      <c r="G657" s="2"/>
      <c r="H657" s="2"/>
      <c r="I657" s="38"/>
      <c r="J657" s="39"/>
    </row>
    <row r="658" spans="4:10" ht="12.75" customHeight="1" x14ac:dyDescent="0.3">
      <c r="D658" s="2"/>
      <c r="E658" s="36"/>
      <c r="F658" s="37"/>
      <c r="G658" s="2"/>
      <c r="H658" s="2"/>
      <c r="I658" s="38"/>
      <c r="J658" s="39"/>
    </row>
    <row r="659" spans="4:10" ht="12.75" customHeight="1" x14ac:dyDescent="0.3">
      <c r="D659" s="2"/>
      <c r="E659" s="36"/>
      <c r="F659" s="37"/>
      <c r="G659" s="2"/>
      <c r="H659" s="2"/>
      <c r="I659" s="38"/>
      <c r="J659" s="39"/>
    </row>
    <row r="660" spans="4:10" ht="12.75" customHeight="1" x14ac:dyDescent="0.3">
      <c r="D660" s="2"/>
      <c r="E660" s="36"/>
      <c r="F660" s="37"/>
      <c r="G660" s="2"/>
      <c r="H660" s="2"/>
      <c r="I660" s="38"/>
      <c r="J660" s="39"/>
    </row>
    <row r="661" spans="4:10" ht="12.75" customHeight="1" x14ac:dyDescent="0.3">
      <c r="D661" s="2"/>
      <c r="E661" s="36"/>
      <c r="F661" s="37"/>
      <c r="G661" s="2"/>
      <c r="H661" s="2"/>
      <c r="I661" s="38"/>
      <c r="J661" s="39"/>
    </row>
    <row r="662" spans="4:10" ht="12.75" customHeight="1" x14ac:dyDescent="0.3">
      <c r="D662" s="2"/>
      <c r="E662" s="36"/>
      <c r="F662" s="37"/>
      <c r="G662" s="2"/>
      <c r="H662" s="2"/>
      <c r="I662" s="38"/>
      <c r="J662" s="39"/>
    </row>
    <row r="663" spans="4:10" ht="12.75" customHeight="1" x14ac:dyDescent="0.3">
      <c r="D663" s="2"/>
      <c r="E663" s="36"/>
      <c r="F663" s="37"/>
      <c r="G663" s="2"/>
      <c r="H663" s="2"/>
      <c r="I663" s="38"/>
      <c r="J663" s="39"/>
    </row>
    <row r="664" spans="4:10" ht="12.75" customHeight="1" x14ac:dyDescent="0.3">
      <c r="D664" s="2"/>
      <c r="E664" s="36"/>
      <c r="F664" s="37"/>
      <c r="G664" s="2"/>
      <c r="H664" s="2"/>
      <c r="I664" s="38"/>
      <c r="J664" s="39"/>
    </row>
    <row r="665" spans="4:10" ht="12.75" customHeight="1" x14ac:dyDescent="0.3">
      <c r="D665" s="2"/>
      <c r="E665" s="36"/>
      <c r="F665" s="37"/>
      <c r="G665" s="2"/>
      <c r="H665" s="2"/>
      <c r="I665" s="38"/>
      <c r="J665" s="39"/>
    </row>
    <row r="666" spans="4:10" ht="12.75" customHeight="1" x14ac:dyDescent="0.3">
      <c r="D666" s="2"/>
      <c r="E666" s="36"/>
      <c r="F666" s="37"/>
      <c r="G666" s="2"/>
      <c r="H666" s="2"/>
      <c r="I666" s="38"/>
      <c r="J666" s="39"/>
    </row>
    <row r="667" spans="4:10" ht="12.75" customHeight="1" x14ac:dyDescent="0.3">
      <c r="D667" s="2"/>
      <c r="E667" s="36"/>
      <c r="F667" s="37"/>
      <c r="G667" s="2"/>
      <c r="H667" s="2"/>
      <c r="I667" s="38"/>
      <c r="J667" s="39"/>
    </row>
    <row r="668" spans="4:10" ht="12.75" customHeight="1" x14ac:dyDescent="0.3">
      <c r="D668" s="2"/>
      <c r="E668" s="36"/>
      <c r="F668" s="37"/>
      <c r="G668" s="2"/>
      <c r="H668" s="2"/>
      <c r="I668" s="38"/>
      <c r="J668" s="39"/>
    </row>
    <row r="669" spans="4:10" ht="12.75" customHeight="1" x14ac:dyDescent="0.3">
      <c r="D669" s="2"/>
      <c r="E669" s="36"/>
      <c r="F669" s="37"/>
      <c r="G669" s="2"/>
      <c r="H669" s="2"/>
      <c r="I669" s="38"/>
      <c r="J669" s="39"/>
    </row>
    <row r="670" spans="4:10" ht="12.75" customHeight="1" x14ac:dyDescent="0.3">
      <c r="D670" s="2"/>
      <c r="E670" s="36"/>
      <c r="F670" s="37"/>
      <c r="G670" s="2"/>
      <c r="H670" s="2"/>
      <c r="I670" s="38"/>
      <c r="J670" s="39"/>
    </row>
    <row r="671" spans="4:10" ht="12.75" customHeight="1" x14ac:dyDescent="0.3">
      <c r="D671" s="2"/>
      <c r="E671" s="36"/>
      <c r="F671" s="37"/>
      <c r="G671" s="2"/>
      <c r="H671" s="2"/>
      <c r="I671" s="38"/>
      <c r="J671" s="39"/>
    </row>
    <row r="672" spans="4:10" ht="12.75" customHeight="1" x14ac:dyDescent="0.3">
      <c r="D672" s="2"/>
      <c r="E672" s="36"/>
      <c r="F672" s="37"/>
      <c r="G672" s="2"/>
      <c r="H672" s="2"/>
      <c r="I672" s="38"/>
      <c r="J672" s="39"/>
    </row>
    <row r="673" spans="4:10" ht="12.75" customHeight="1" x14ac:dyDescent="0.3">
      <c r="D673" s="2"/>
      <c r="E673" s="36"/>
      <c r="F673" s="37"/>
      <c r="G673" s="2"/>
      <c r="H673" s="2"/>
      <c r="I673" s="38"/>
      <c r="J673" s="39"/>
    </row>
    <row r="674" spans="4:10" ht="12.75" customHeight="1" x14ac:dyDescent="0.3">
      <c r="D674" s="2"/>
      <c r="E674" s="36"/>
      <c r="F674" s="37"/>
      <c r="G674" s="2"/>
      <c r="H674" s="2"/>
      <c r="I674" s="38"/>
      <c r="J674" s="39"/>
    </row>
    <row r="675" spans="4:10" ht="12.75" customHeight="1" x14ac:dyDescent="0.3">
      <c r="D675" s="2"/>
      <c r="E675" s="36"/>
      <c r="F675" s="37"/>
      <c r="G675" s="2"/>
      <c r="H675" s="2"/>
      <c r="I675" s="38"/>
      <c r="J675" s="39"/>
    </row>
    <row r="676" spans="4:10" ht="12.75" customHeight="1" x14ac:dyDescent="0.3">
      <c r="D676" s="2"/>
      <c r="E676" s="36"/>
      <c r="F676" s="37"/>
      <c r="G676" s="2"/>
      <c r="H676" s="2"/>
      <c r="I676" s="38"/>
      <c r="J676" s="39"/>
    </row>
    <row r="677" spans="4:10" ht="12.75" customHeight="1" x14ac:dyDescent="0.3">
      <c r="D677" s="2"/>
      <c r="E677" s="36"/>
      <c r="F677" s="37"/>
      <c r="G677" s="2"/>
      <c r="H677" s="2"/>
      <c r="I677" s="38"/>
      <c r="J677" s="39"/>
    </row>
    <row r="678" spans="4:10" ht="12.75" customHeight="1" x14ac:dyDescent="0.3">
      <c r="D678" s="2"/>
      <c r="E678" s="36"/>
      <c r="F678" s="37"/>
      <c r="G678" s="2"/>
      <c r="H678" s="2"/>
      <c r="I678" s="38"/>
      <c r="J678" s="39"/>
    </row>
    <row r="679" spans="4:10" ht="12.75" customHeight="1" x14ac:dyDescent="0.3">
      <c r="D679" s="2"/>
      <c r="E679" s="36"/>
      <c r="F679" s="37"/>
      <c r="G679" s="2"/>
      <c r="H679" s="2"/>
      <c r="I679" s="38"/>
      <c r="J679" s="39"/>
    </row>
    <row r="680" spans="4:10" ht="12.75" customHeight="1" x14ac:dyDescent="0.3">
      <c r="D680" s="2"/>
      <c r="E680" s="36"/>
      <c r="F680" s="37"/>
      <c r="G680" s="2"/>
      <c r="H680" s="2"/>
      <c r="I680" s="38"/>
      <c r="J680" s="39"/>
    </row>
    <row r="681" spans="4:10" ht="12.75" customHeight="1" x14ac:dyDescent="0.3">
      <c r="D681" s="2"/>
      <c r="E681" s="36"/>
      <c r="F681" s="37"/>
      <c r="G681" s="2"/>
      <c r="H681" s="2"/>
      <c r="I681" s="38"/>
      <c r="J681" s="39"/>
    </row>
    <row r="682" spans="4:10" ht="12.75" customHeight="1" x14ac:dyDescent="0.3">
      <c r="D682" s="2"/>
      <c r="E682" s="36"/>
      <c r="F682" s="37"/>
      <c r="G682" s="2"/>
      <c r="H682" s="2"/>
      <c r="I682" s="38"/>
      <c r="J682" s="39"/>
    </row>
    <row r="683" spans="4:10" ht="12.75" customHeight="1" x14ac:dyDescent="0.3">
      <c r="D683" s="2"/>
      <c r="E683" s="36"/>
      <c r="F683" s="37"/>
      <c r="G683" s="2"/>
      <c r="H683" s="2"/>
      <c r="I683" s="38"/>
      <c r="J683" s="39"/>
    </row>
    <row r="684" spans="4:10" ht="12.75" customHeight="1" x14ac:dyDescent="0.3">
      <c r="D684" s="2"/>
      <c r="E684" s="36"/>
      <c r="F684" s="37"/>
      <c r="G684" s="2"/>
      <c r="H684" s="2"/>
      <c r="I684" s="38"/>
      <c r="J684" s="39"/>
    </row>
    <row r="685" spans="4:10" ht="12.75" customHeight="1" x14ac:dyDescent="0.3">
      <c r="D685" s="2"/>
      <c r="E685" s="36"/>
      <c r="F685" s="37"/>
      <c r="G685" s="2"/>
      <c r="H685" s="2"/>
      <c r="I685" s="38"/>
      <c r="J685" s="39"/>
    </row>
    <row r="686" spans="4:10" ht="12.75" customHeight="1" x14ac:dyDescent="0.3">
      <c r="D686" s="2"/>
      <c r="E686" s="36"/>
      <c r="F686" s="37"/>
      <c r="G686" s="2"/>
      <c r="H686" s="2"/>
      <c r="I686" s="38"/>
      <c r="J686" s="39"/>
    </row>
    <row r="687" spans="4:10" ht="12.75" customHeight="1" x14ac:dyDescent="0.3">
      <c r="D687" s="2"/>
      <c r="E687" s="36"/>
      <c r="F687" s="37"/>
      <c r="G687" s="2"/>
      <c r="H687" s="2"/>
      <c r="I687" s="38"/>
      <c r="J687" s="39"/>
    </row>
    <row r="688" spans="4:10" ht="12.75" customHeight="1" x14ac:dyDescent="0.3">
      <c r="D688" s="2"/>
      <c r="E688" s="36"/>
      <c r="F688" s="37"/>
      <c r="G688" s="2"/>
      <c r="H688" s="2"/>
      <c r="I688" s="38"/>
      <c r="J688" s="39"/>
    </row>
    <row r="689" spans="4:10" ht="12.75" customHeight="1" x14ac:dyDescent="0.3">
      <c r="D689" s="2"/>
      <c r="E689" s="36"/>
      <c r="F689" s="37"/>
      <c r="G689" s="2"/>
      <c r="H689" s="2"/>
      <c r="I689" s="38"/>
      <c r="J689" s="39"/>
    </row>
    <row r="690" spans="4:10" ht="12.75" customHeight="1" x14ac:dyDescent="0.3">
      <c r="D690" s="2"/>
      <c r="E690" s="36"/>
      <c r="F690" s="37"/>
      <c r="G690" s="2"/>
      <c r="H690" s="2"/>
      <c r="I690" s="38"/>
      <c r="J690" s="39"/>
    </row>
    <row r="691" spans="4:10" ht="12.75" customHeight="1" x14ac:dyDescent="0.3">
      <c r="D691" s="2"/>
      <c r="E691" s="36"/>
      <c r="F691" s="37"/>
      <c r="G691" s="2"/>
      <c r="H691" s="2"/>
      <c r="I691" s="38"/>
      <c r="J691" s="39"/>
    </row>
    <row r="692" spans="4:10" ht="12.75" customHeight="1" x14ac:dyDescent="0.3">
      <c r="D692" s="2"/>
      <c r="E692" s="36"/>
      <c r="F692" s="37"/>
      <c r="G692" s="2"/>
      <c r="H692" s="2"/>
      <c r="I692" s="38"/>
      <c r="J692" s="39"/>
    </row>
    <row r="693" spans="4:10" ht="12.75" customHeight="1" x14ac:dyDescent="0.3">
      <c r="D693" s="2"/>
      <c r="E693" s="36"/>
      <c r="F693" s="37"/>
      <c r="G693" s="2"/>
      <c r="H693" s="2"/>
      <c r="I693" s="38"/>
      <c r="J693" s="39"/>
    </row>
    <row r="694" spans="4:10" ht="12.75" customHeight="1" x14ac:dyDescent="0.3">
      <c r="D694" s="2"/>
      <c r="E694" s="36"/>
      <c r="F694" s="37"/>
      <c r="G694" s="2"/>
      <c r="H694" s="2"/>
      <c r="I694" s="38"/>
      <c r="J694" s="39"/>
    </row>
    <row r="695" spans="4:10" ht="12.75" customHeight="1" x14ac:dyDescent="0.3">
      <c r="D695" s="2"/>
      <c r="E695" s="36"/>
      <c r="F695" s="37"/>
      <c r="G695" s="2"/>
      <c r="H695" s="2"/>
      <c r="I695" s="38"/>
      <c r="J695" s="39"/>
    </row>
    <row r="696" spans="4:10" ht="12.75" customHeight="1" x14ac:dyDescent="0.3">
      <c r="D696" s="2"/>
      <c r="E696" s="36"/>
      <c r="F696" s="37"/>
      <c r="G696" s="2"/>
      <c r="H696" s="2"/>
      <c r="I696" s="38"/>
      <c r="J696" s="39"/>
    </row>
    <row r="697" spans="4:10" ht="12.75" customHeight="1" x14ac:dyDescent="0.3">
      <c r="D697" s="2"/>
      <c r="E697" s="36"/>
      <c r="F697" s="37"/>
      <c r="G697" s="2"/>
      <c r="H697" s="2"/>
      <c r="I697" s="38"/>
      <c r="J697" s="39"/>
    </row>
    <row r="698" spans="4:10" ht="12.75" customHeight="1" x14ac:dyDescent="0.3">
      <c r="D698" s="2"/>
      <c r="E698" s="36"/>
      <c r="F698" s="37"/>
      <c r="G698" s="2"/>
      <c r="H698" s="2"/>
      <c r="I698" s="38"/>
      <c r="J698" s="39"/>
    </row>
    <row r="699" spans="4:10" ht="12.75" customHeight="1" x14ac:dyDescent="0.3">
      <c r="D699" s="2"/>
      <c r="E699" s="36"/>
      <c r="F699" s="37"/>
      <c r="G699" s="2"/>
      <c r="H699" s="2"/>
      <c r="I699" s="38"/>
      <c r="J699" s="39"/>
    </row>
    <row r="700" spans="4:10" ht="12.75" customHeight="1" x14ac:dyDescent="0.3">
      <c r="D700" s="2"/>
      <c r="E700" s="36"/>
      <c r="F700" s="37"/>
      <c r="G700" s="2"/>
      <c r="H700" s="2"/>
      <c r="I700" s="38"/>
      <c r="J700" s="39"/>
    </row>
    <row r="701" spans="4:10" ht="12.75" customHeight="1" x14ac:dyDescent="0.3">
      <c r="D701" s="2"/>
      <c r="E701" s="36"/>
      <c r="F701" s="37"/>
      <c r="G701" s="2"/>
      <c r="H701" s="2"/>
      <c r="I701" s="38"/>
      <c r="J701" s="39"/>
    </row>
    <row r="702" spans="4:10" ht="12.75" customHeight="1" x14ac:dyDescent="0.3">
      <c r="D702" s="2"/>
      <c r="E702" s="36"/>
      <c r="F702" s="37"/>
      <c r="G702" s="2"/>
      <c r="H702" s="2"/>
      <c r="I702" s="38"/>
      <c r="J702" s="39"/>
    </row>
    <row r="703" spans="4:10" ht="12.75" customHeight="1" x14ac:dyDescent="0.3">
      <c r="D703" s="2"/>
      <c r="E703" s="36"/>
      <c r="F703" s="37"/>
      <c r="G703" s="2"/>
      <c r="H703" s="2"/>
      <c r="I703" s="38"/>
      <c r="J703" s="39"/>
    </row>
    <row r="704" spans="4:10" ht="12.75" customHeight="1" x14ac:dyDescent="0.3">
      <c r="D704" s="2"/>
      <c r="E704" s="36"/>
      <c r="F704" s="37"/>
      <c r="G704" s="2"/>
      <c r="H704" s="2"/>
      <c r="I704" s="38"/>
      <c r="J704" s="39"/>
    </row>
    <row r="705" spans="4:10" ht="12.75" customHeight="1" x14ac:dyDescent="0.3">
      <c r="D705" s="2"/>
      <c r="E705" s="36"/>
      <c r="F705" s="37"/>
      <c r="G705" s="2"/>
      <c r="H705" s="2"/>
      <c r="I705" s="38"/>
      <c r="J705" s="39"/>
    </row>
    <row r="706" spans="4:10" ht="12.75" customHeight="1" x14ac:dyDescent="0.3">
      <c r="D706" s="2"/>
      <c r="E706" s="36"/>
      <c r="F706" s="37"/>
      <c r="G706" s="2"/>
      <c r="H706" s="2"/>
      <c r="I706" s="38"/>
      <c r="J706" s="39"/>
    </row>
    <row r="707" spans="4:10" ht="12.75" customHeight="1" x14ac:dyDescent="0.3">
      <c r="D707" s="2"/>
      <c r="E707" s="36"/>
      <c r="F707" s="37"/>
      <c r="G707" s="2"/>
      <c r="H707" s="2"/>
      <c r="I707" s="38"/>
      <c r="J707" s="39"/>
    </row>
    <row r="708" spans="4:10" ht="12.75" customHeight="1" x14ac:dyDescent="0.3">
      <c r="D708" s="2"/>
      <c r="E708" s="36"/>
      <c r="F708" s="37"/>
      <c r="G708" s="2"/>
      <c r="H708" s="2"/>
      <c r="I708" s="38"/>
      <c r="J708" s="39"/>
    </row>
    <row r="709" spans="4:10" ht="12.75" customHeight="1" x14ac:dyDescent="0.3">
      <c r="D709" s="2"/>
      <c r="E709" s="36"/>
      <c r="F709" s="37"/>
      <c r="G709" s="2"/>
      <c r="H709" s="2"/>
      <c r="I709" s="38"/>
      <c r="J709" s="39"/>
    </row>
    <row r="710" spans="4:10" ht="12.75" customHeight="1" x14ac:dyDescent="0.3">
      <c r="D710" s="2"/>
      <c r="E710" s="36"/>
      <c r="F710" s="37"/>
      <c r="G710" s="2"/>
      <c r="H710" s="2"/>
      <c r="I710" s="38"/>
      <c r="J710" s="39"/>
    </row>
    <row r="711" spans="4:10" ht="12.75" customHeight="1" x14ac:dyDescent="0.3">
      <c r="D711" s="2"/>
      <c r="E711" s="36"/>
      <c r="F711" s="37"/>
      <c r="G711" s="2"/>
      <c r="H711" s="2"/>
      <c r="I711" s="38"/>
      <c r="J711" s="39"/>
    </row>
    <row r="712" spans="4:10" ht="12.75" customHeight="1" x14ac:dyDescent="0.3">
      <c r="D712" s="2"/>
      <c r="E712" s="36"/>
      <c r="F712" s="37"/>
      <c r="G712" s="2"/>
      <c r="H712" s="2"/>
      <c r="I712" s="38"/>
      <c r="J712" s="39"/>
    </row>
    <row r="713" spans="4:10" ht="12.75" customHeight="1" x14ac:dyDescent="0.3">
      <c r="D713" s="2"/>
      <c r="E713" s="36"/>
      <c r="F713" s="37"/>
      <c r="G713" s="2"/>
      <c r="H713" s="2"/>
      <c r="I713" s="38"/>
      <c r="J713" s="39"/>
    </row>
    <row r="714" spans="4:10" ht="12.75" customHeight="1" x14ac:dyDescent="0.3">
      <c r="D714" s="2"/>
      <c r="E714" s="36"/>
      <c r="F714" s="37"/>
      <c r="G714" s="2"/>
      <c r="H714" s="2"/>
      <c r="I714" s="38"/>
      <c r="J714" s="39"/>
    </row>
    <row r="715" spans="4:10" ht="12.75" customHeight="1" x14ac:dyDescent="0.3">
      <c r="D715" s="2"/>
      <c r="E715" s="36"/>
      <c r="F715" s="37"/>
      <c r="G715" s="2"/>
      <c r="H715" s="2"/>
      <c r="I715" s="38"/>
      <c r="J715" s="39"/>
    </row>
    <row r="716" spans="4:10" ht="12.75" customHeight="1" x14ac:dyDescent="0.3">
      <c r="D716" s="2"/>
      <c r="E716" s="36"/>
      <c r="F716" s="37"/>
      <c r="G716" s="2"/>
      <c r="H716" s="2"/>
      <c r="I716" s="38"/>
      <c r="J716" s="39"/>
    </row>
    <row r="717" spans="4:10" ht="12.75" customHeight="1" x14ac:dyDescent="0.3">
      <c r="D717" s="2"/>
      <c r="E717" s="36"/>
      <c r="F717" s="37"/>
      <c r="G717" s="2"/>
      <c r="H717" s="2"/>
      <c r="I717" s="38"/>
      <c r="J717" s="39"/>
    </row>
    <row r="718" spans="4:10" ht="12.75" customHeight="1" x14ac:dyDescent="0.3">
      <c r="D718" s="2"/>
      <c r="E718" s="36"/>
      <c r="F718" s="37"/>
      <c r="G718" s="2"/>
      <c r="H718" s="2"/>
      <c r="I718" s="38"/>
      <c r="J718" s="39"/>
    </row>
    <row r="719" spans="4:10" ht="12.75" customHeight="1" x14ac:dyDescent="0.3">
      <c r="D719" s="2"/>
      <c r="E719" s="36"/>
      <c r="F719" s="37"/>
      <c r="G719" s="2"/>
      <c r="H719" s="2"/>
      <c r="I719" s="38"/>
      <c r="J719" s="39"/>
    </row>
    <row r="720" spans="4:10" ht="12.75" customHeight="1" x14ac:dyDescent="0.3">
      <c r="D720" s="2"/>
      <c r="E720" s="36"/>
      <c r="F720" s="37"/>
      <c r="G720" s="2"/>
      <c r="H720" s="2"/>
      <c r="I720" s="38"/>
      <c r="J720" s="39"/>
    </row>
    <row r="721" spans="4:10" ht="12.75" customHeight="1" x14ac:dyDescent="0.3">
      <c r="D721" s="2"/>
      <c r="E721" s="36"/>
      <c r="F721" s="37"/>
      <c r="G721" s="2"/>
      <c r="H721" s="2"/>
      <c r="I721" s="38"/>
      <c r="J721" s="39"/>
    </row>
    <row r="722" spans="4:10" ht="12.75" customHeight="1" x14ac:dyDescent="0.3">
      <c r="D722" s="2"/>
      <c r="E722" s="36"/>
      <c r="F722" s="37"/>
      <c r="G722" s="2"/>
      <c r="H722" s="2"/>
      <c r="I722" s="38"/>
      <c r="J722" s="39"/>
    </row>
    <row r="723" spans="4:10" ht="12.75" customHeight="1" x14ac:dyDescent="0.3">
      <c r="D723" s="2"/>
      <c r="E723" s="36"/>
      <c r="F723" s="37"/>
      <c r="G723" s="2"/>
      <c r="H723" s="2"/>
      <c r="I723" s="38"/>
      <c r="J723" s="39"/>
    </row>
    <row r="724" spans="4:10" ht="12.75" customHeight="1" x14ac:dyDescent="0.3">
      <c r="D724" s="2"/>
      <c r="E724" s="36"/>
      <c r="F724" s="37"/>
      <c r="G724" s="2"/>
      <c r="H724" s="2"/>
      <c r="I724" s="38"/>
      <c r="J724" s="39"/>
    </row>
    <row r="725" spans="4:10" ht="12.75" customHeight="1" x14ac:dyDescent="0.3">
      <c r="D725" s="2"/>
      <c r="E725" s="36"/>
      <c r="F725" s="37"/>
      <c r="G725" s="2"/>
      <c r="H725" s="2"/>
      <c r="I725" s="38"/>
      <c r="J725" s="39"/>
    </row>
    <row r="726" spans="4:10" ht="12.75" customHeight="1" x14ac:dyDescent="0.3">
      <c r="D726" s="2"/>
      <c r="E726" s="36"/>
      <c r="F726" s="37"/>
      <c r="G726" s="2"/>
      <c r="H726" s="2"/>
      <c r="I726" s="38"/>
      <c r="J726" s="39"/>
    </row>
    <row r="727" spans="4:10" ht="12.75" customHeight="1" x14ac:dyDescent="0.3">
      <c r="D727" s="2"/>
      <c r="E727" s="36"/>
      <c r="F727" s="37"/>
      <c r="G727" s="2"/>
      <c r="H727" s="2"/>
      <c r="I727" s="38"/>
      <c r="J727" s="39"/>
    </row>
    <row r="728" spans="4:10" ht="12.75" customHeight="1" x14ac:dyDescent="0.3">
      <c r="D728" s="2"/>
      <c r="E728" s="36"/>
      <c r="F728" s="37"/>
      <c r="G728" s="2"/>
      <c r="H728" s="2"/>
      <c r="I728" s="38"/>
      <c r="J728" s="39"/>
    </row>
    <row r="729" spans="4:10" ht="12.75" customHeight="1" x14ac:dyDescent="0.3">
      <c r="D729" s="2"/>
      <c r="E729" s="36"/>
      <c r="F729" s="37"/>
      <c r="G729" s="2"/>
      <c r="H729" s="2"/>
      <c r="I729" s="38"/>
      <c r="J729" s="39"/>
    </row>
    <row r="730" spans="4:10" ht="12.75" customHeight="1" x14ac:dyDescent="0.3">
      <c r="D730" s="2"/>
      <c r="E730" s="36"/>
      <c r="F730" s="37"/>
      <c r="G730" s="2"/>
      <c r="H730" s="2"/>
      <c r="I730" s="38"/>
      <c r="J730" s="39"/>
    </row>
    <row r="731" spans="4:10" ht="12.75" customHeight="1" x14ac:dyDescent="0.3">
      <c r="D731" s="2"/>
      <c r="E731" s="36"/>
      <c r="F731" s="37"/>
      <c r="G731" s="2"/>
      <c r="H731" s="2"/>
      <c r="I731" s="38"/>
      <c r="J731" s="39"/>
    </row>
    <row r="732" spans="4:10" ht="12.75" customHeight="1" x14ac:dyDescent="0.3">
      <c r="D732" s="2"/>
      <c r="E732" s="36"/>
      <c r="F732" s="37"/>
      <c r="G732" s="2"/>
      <c r="H732" s="2"/>
      <c r="I732" s="38"/>
      <c r="J732" s="39"/>
    </row>
    <row r="733" spans="4:10" ht="12.75" customHeight="1" x14ac:dyDescent="0.3">
      <c r="D733" s="2"/>
      <c r="E733" s="36"/>
      <c r="F733" s="37"/>
      <c r="G733" s="2"/>
      <c r="H733" s="2"/>
      <c r="I733" s="38"/>
      <c r="J733" s="39"/>
    </row>
    <row r="734" spans="4:10" ht="12.75" customHeight="1" x14ac:dyDescent="0.3">
      <c r="D734" s="2"/>
      <c r="E734" s="36"/>
      <c r="F734" s="37"/>
      <c r="G734" s="2"/>
      <c r="H734" s="2"/>
      <c r="I734" s="38"/>
      <c r="J734" s="39"/>
    </row>
    <row r="735" spans="4:10" ht="12.75" customHeight="1" x14ac:dyDescent="0.3">
      <c r="D735" s="2"/>
      <c r="E735" s="36"/>
      <c r="F735" s="37"/>
      <c r="G735" s="2"/>
      <c r="H735" s="2"/>
      <c r="I735" s="38"/>
      <c r="J735" s="39"/>
    </row>
    <row r="736" spans="4:10" ht="12.75" customHeight="1" x14ac:dyDescent="0.3">
      <c r="D736" s="2"/>
      <c r="E736" s="36"/>
      <c r="F736" s="37"/>
      <c r="G736" s="2"/>
      <c r="H736" s="2"/>
      <c r="I736" s="38"/>
      <c r="J736" s="39"/>
    </row>
    <row r="737" spans="4:10" ht="12.75" customHeight="1" x14ac:dyDescent="0.3">
      <c r="D737" s="2"/>
      <c r="E737" s="36"/>
      <c r="F737" s="37"/>
      <c r="G737" s="2"/>
      <c r="H737" s="2"/>
      <c r="I737" s="38"/>
      <c r="J737" s="39"/>
    </row>
    <row r="738" spans="4:10" ht="12.75" customHeight="1" x14ac:dyDescent="0.3">
      <c r="D738" s="2"/>
      <c r="E738" s="36"/>
      <c r="F738" s="37"/>
      <c r="G738" s="2"/>
      <c r="H738" s="2"/>
      <c r="I738" s="38"/>
      <c r="J738" s="39"/>
    </row>
    <row r="739" spans="4:10" ht="12.75" customHeight="1" x14ac:dyDescent="0.3">
      <c r="D739" s="2"/>
      <c r="E739" s="36"/>
      <c r="F739" s="37"/>
      <c r="G739" s="2"/>
      <c r="H739" s="2"/>
      <c r="I739" s="38"/>
      <c r="J739" s="39"/>
    </row>
    <row r="740" spans="4:10" ht="12.75" customHeight="1" x14ac:dyDescent="0.3">
      <c r="D740" s="2"/>
      <c r="E740" s="36"/>
      <c r="F740" s="37"/>
      <c r="G740" s="2"/>
      <c r="H740" s="2"/>
      <c r="I740" s="38"/>
      <c r="J740" s="39"/>
    </row>
    <row r="741" spans="4:10" ht="12.75" customHeight="1" x14ac:dyDescent="0.3">
      <c r="D741" s="2"/>
      <c r="E741" s="36"/>
      <c r="F741" s="37"/>
      <c r="G741" s="2"/>
      <c r="H741" s="2"/>
      <c r="I741" s="38"/>
      <c r="J741" s="39"/>
    </row>
    <row r="742" spans="4:10" ht="12.75" customHeight="1" x14ac:dyDescent="0.3">
      <c r="D742" s="2"/>
      <c r="E742" s="36"/>
      <c r="F742" s="37"/>
      <c r="G742" s="2"/>
      <c r="H742" s="2"/>
      <c r="I742" s="38"/>
      <c r="J742" s="39"/>
    </row>
    <row r="743" spans="4:10" ht="12.75" customHeight="1" x14ac:dyDescent="0.3">
      <c r="D743" s="2"/>
      <c r="E743" s="36"/>
      <c r="F743" s="37"/>
      <c r="G743" s="2"/>
      <c r="H743" s="2"/>
      <c r="I743" s="38"/>
      <c r="J743" s="39"/>
    </row>
    <row r="744" spans="4:10" ht="12.75" customHeight="1" x14ac:dyDescent="0.3">
      <c r="D744" s="2"/>
      <c r="E744" s="36"/>
      <c r="F744" s="37"/>
      <c r="G744" s="2"/>
      <c r="H744" s="2"/>
      <c r="I744" s="38"/>
      <c r="J744" s="39"/>
    </row>
    <row r="745" spans="4:10" ht="12.75" customHeight="1" x14ac:dyDescent="0.3">
      <c r="D745" s="2"/>
      <c r="E745" s="36"/>
      <c r="F745" s="37"/>
      <c r="G745" s="2"/>
      <c r="H745" s="2"/>
      <c r="I745" s="38"/>
      <c r="J745" s="39"/>
    </row>
    <row r="746" spans="4:10" ht="12.75" customHeight="1" x14ac:dyDescent="0.3">
      <c r="D746" s="2"/>
      <c r="E746" s="36"/>
      <c r="F746" s="37"/>
      <c r="G746" s="2"/>
      <c r="H746" s="2"/>
      <c r="I746" s="38"/>
      <c r="J746" s="39"/>
    </row>
    <row r="747" spans="4:10" ht="12.75" customHeight="1" x14ac:dyDescent="0.3">
      <c r="D747" s="2"/>
      <c r="E747" s="36"/>
      <c r="F747" s="37"/>
      <c r="G747" s="2"/>
      <c r="H747" s="2"/>
      <c r="I747" s="38"/>
      <c r="J747" s="39"/>
    </row>
    <row r="748" spans="4:10" ht="12.75" customHeight="1" x14ac:dyDescent="0.3">
      <c r="D748" s="2"/>
      <c r="E748" s="36"/>
      <c r="F748" s="37"/>
      <c r="G748" s="2"/>
      <c r="H748" s="2"/>
      <c r="I748" s="38"/>
      <c r="J748" s="39"/>
    </row>
    <row r="749" spans="4:10" ht="12.75" customHeight="1" x14ac:dyDescent="0.3">
      <c r="D749" s="2"/>
      <c r="E749" s="36"/>
      <c r="F749" s="37"/>
      <c r="G749" s="2"/>
      <c r="H749" s="2"/>
      <c r="I749" s="38"/>
      <c r="J749" s="39"/>
    </row>
    <row r="750" spans="4:10" ht="12.75" customHeight="1" x14ac:dyDescent="0.3">
      <c r="D750" s="2"/>
      <c r="E750" s="36"/>
      <c r="F750" s="37"/>
      <c r="G750" s="2"/>
      <c r="H750" s="2"/>
      <c r="I750" s="38"/>
      <c r="J750" s="39"/>
    </row>
    <row r="751" spans="4:10" ht="12.75" customHeight="1" x14ac:dyDescent="0.3">
      <c r="D751" s="2"/>
      <c r="E751" s="36"/>
      <c r="F751" s="37"/>
      <c r="G751" s="2"/>
      <c r="H751" s="2"/>
      <c r="I751" s="38"/>
      <c r="J751" s="39"/>
    </row>
    <row r="752" spans="4:10" ht="12.75" customHeight="1" x14ac:dyDescent="0.3">
      <c r="D752" s="2"/>
      <c r="E752" s="36"/>
      <c r="F752" s="37"/>
      <c r="G752" s="2"/>
      <c r="H752" s="2"/>
      <c r="I752" s="38"/>
      <c r="J752" s="39"/>
    </row>
    <row r="753" spans="4:10" ht="12.75" customHeight="1" x14ac:dyDescent="0.3">
      <c r="D753" s="2"/>
      <c r="E753" s="36"/>
      <c r="F753" s="37"/>
      <c r="G753" s="2"/>
      <c r="H753" s="2"/>
      <c r="I753" s="38"/>
      <c r="J753" s="39"/>
    </row>
    <row r="754" spans="4:10" ht="12.75" customHeight="1" x14ac:dyDescent="0.3">
      <c r="D754" s="2"/>
      <c r="E754" s="36"/>
      <c r="F754" s="37"/>
      <c r="G754" s="2"/>
      <c r="H754" s="2"/>
      <c r="I754" s="38"/>
      <c r="J754" s="39"/>
    </row>
    <row r="755" spans="4:10" ht="12.75" customHeight="1" x14ac:dyDescent="0.3">
      <c r="D755" s="2"/>
      <c r="E755" s="36"/>
      <c r="F755" s="37"/>
      <c r="G755" s="2"/>
      <c r="H755" s="2"/>
      <c r="I755" s="38"/>
      <c r="J755" s="39"/>
    </row>
    <row r="756" spans="4:10" ht="12.75" customHeight="1" x14ac:dyDescent="0.3">
      <c r="D756" s="2"/>
      <c r="E756" s="36"/>
      <c r="F756" s="37"/>
      <c r="G756" s="2"/>
      <c r="H756" s="2"/>
      <c r="I756" s="38"/>
      <c r="J756" s="39"/>
    </row>
    <row r="757" spans="4:10" ht="12.75" customHeight="1" x14ac:dyDescent="0.3">
      <c r="D757" s="2"/>
      <c r="E757" s="36"/>
      <c r="F757" s="37"/>
      <c r="G757" s="2"/>
      <c r="H757" s="2"/>
      <c r="I757" s="38"/>
      <c r="J757" s="39"/>
    </row>
    <row r="758" spans="4:10" ht="12.75" customHeight="1" x14ac:dyDescent="0.3">
      <c r="D758" s="2"/>
      <c r="E758" s="36"/>
      <c r="F758" s="37"/>
      <c r="G758" s="2"/>
      <c r="H758" s="2"/>
      <c r="I758" s="38"/>
      <c r="J758" s="39"/>
    </row>
    <row r="759" spans="4:10" ht="12.75" customHeight="1" x14ac:dyDescent="0.3">
      <c r="D759" s="2"/>
      <c r="E759" s="36"/>
      <c r="F759" s="37"/>
      <c r="G759" s="2"/>
      <c r="H759" s="2"/>
      <c r="I759" s="38"/>
      <c r="J759" s="39"/>
    </row>
    <row r="760" spans="4:10" ht="12.75" customHeight="1" x14ac:dyDescent="0.3">
      <c r="D760" s="2"/>
      <c r="E760" s="36"/>
      <c r="F760" s="37"/>
      <c r="G760" s="2"/>
      <c r="H760" s="2"/>
      <c r="I760" s="38"/>
      <c r="J760" s="39"/>
    </row>
    <row r="761" spans="4:10" ht="12.75" customHeight="1" x14ac:dyDescent="0.3">
      <c r="D761" s="2"/>
      <c r="E761" s="36"/>
      <c r="F761" s="37"/>
      <c r="G761" s="2"/>
      <c r="H761" s="2"/>
      <c r="I761" s="38"/>
      <c r="J761" s="39"/>
    </row>
    <row r="762" spans="4:10" ht="12.75" customHeight="1" x14ac:dyDescent="0.3">
      <c r="D762" s="2"/>
      <c r="E762" s="36"/>
      <c r="F762" s="37"/>
      <c r="G762" s="2"/>
      <c r="H762" s="2"/>
      <c r="I762" s="38"/>
      <c r="J762" s="39"/>
    </row>
    <row r="763" spans="4:10" ht="12.75" customHeight="1" x14ac:dyDescent="0.3">
      <c r="D763" s="2"/>
      <c r="E763" s="36"/>
      <c r="F763" s="37"/>
      <c r="G763" s="2"/>
      <c r="H763" s="2"/>
      <c r="I763" s="38"/>
      <c r="J763" s="39"/>
    </row>
    <row r="764" spans="4:10" ht="12.75" customHeight="1" x14ac:dyDescent="0.3">
      <c r="D764" s="2"/>
      <c r="E764" s="36"/>
      <c r="F764" s="37"/>
      <c r="G764" s="2"/>
      <c r="H764" s="2"/>
      <c r="I764" s="38"/>
      <c r="J764" s="39"/>
    </row>
    <row r="765" spans="4:10" ht="12.75" customHeight="1" x14ac:dyDescent="0.3">
      <c r="D765" s="2"/>
      <c r="E765" s="36"/>
      <c r="F765" s="37"/>
      <c r="G765" s="2"/>
      <c r="H765" s="2"/>
      <c r="I765" s="38"/>
      <c r="J765" s="39"/>
    </row>
    <row r="766" spans="4:10" ht="12.75" customHeight="1" x14ac:dyDescent="0.3">
      <c r="D766" s="2"/>
      <c r="E766" s="36"/>
      <c r="F766" s="37"/>
      <c r="G766" s="2"/>
      <c r="H766" s="2"/>
      <c r="I766" s="38"/>
      <c r="J766" s="39"/>
    </row>
    <row r="767" spans="4:10" ht="12.75" customHeight="1" x14ac:dyDescent="0.3">
      <c r="D767" s="2"/>
      <c r="E767" s="36"/>
      <c r="F767" s="37"/>
      <c r="G767" s="2"/>
      <c r="H767" s="2"/>
      <c r="I767" s="38"/>
      <c r="J767" s="39"/>
    </row>
    <row r="768" spans="4:10" ht="12.75" customHeight="1" x14ac:dyDescent="0.3">
      <c r="D768" s="2"/>
      <c r="E768" s="36"/>
      <c r="F768" s="37"/>
      <c r="G768" s="2"/>
      <c r="H768" s="2"/>
      <c r="I768" s="38"/>
      <c r="J768" s="39"/>
    </row>
    <row r="769" spans="4:10" ht="12.75" customHeight="1" x14ac:dyDescent="0.3">
      <c r="D769" s="2"/>
      <c r="E769" s="36"/>
      <c r="F769" s="37"/>
      <c r="G769" s="2"/>
      <c r="H769" s="2"/>
      <c r="I769" s="38"/>
      <c r="J769" s="39"/>
    </row>
    <row r="770" spans="4:10" ht="12.75" customHeight="1" x14ac:dyDescent="0.3">
      <c r="D770" s="2"/>
      <c r="E770" s="36"/>
      <c r="F770" s="37"/>
      <c r="G770" s="2"/>
      <c r="H770" s="2"/>
      <c r="I770" s="38"/>
      <c r="J770" s="39"/>
    </row>
    <row r="771" spans="4:10" ht="12.75" customHeight="1" x14ac:dyDescent="0.3">
      <c r="D771" s="2"/>
      <c r="E771" s="36"/>
      <c r="F771" s="37"/>
      <c r="G771" s="2"/>
      <c r="H771" s="2"/>
      <c r="I771" s="38"/>
      <c r="J771" s="39"/>
    </row>
    <row r="772" spans="4:10" ht="12.75" customHeight="1" x14ac:dyDescent="0.3">
      <c r="D772" s="2"/>
      <c r="E772" s="36"/>
      <c r="F772" s="37"/>
      <c r="G772" s="2"/>
      <c r="H772" s="2"/>
      <c r="I772" s="38"/>
      <c r="J772" s="39"/>
    </row>
    <row r="773" spans="4:10" ht="12.75" customHeight="1" x14ac:dyDescent="0.3">
      <c r="D773" s="2"/>
      <c r="E773" s="36"/>
      <c r="F773" s="37"/>
      <c r="G773" s="2"/>
      <c r="H773" s="2"/>
      <c r="I773" s="38"/>
      <c r="J773" s="39"/>
    </row>
    <row r="774" spans="4:10" ht="12.75" customHeight="1" x14ac:dyDescent="0.3">
      <c r="D774" s="2"/>
      <c r="E774" s="36"/>
      <c r="F774" s="37"/>
      <c r="G774" s="2"/>
      <c r="H774" s="2"/>
      <c r="I774" s="38"/>
      <c r="J774" s="39"/>
    </row>
    <row r="775" spans="4:10" ht="12.75" customHeight="1" x14ac:dyDescent="0.3">
      <c r="D775" s="2"/>
      <c r="E775" s="36"/>
      <c r="F775" s="37"/>
      <c r="G775" s="2"/>
      <c r="H775" s="2"/>
      <c r="I775" s="38"/>
      <c r="J775" s="39"/>
    </row>
    <row r="776" spans="4:10" ht="12.75" customHeight="1" x14ac:dyDescent="0.3">
      <c r="D776" s="2"/>
      <c r="E776" s="36"/>
      <c r="F776" s="37"/>
      <c r="G776" s="2"/>
      <c r="H776" s="2"/>
      <c r="I776" s="38"/>
      <c r="J776" s="39"/>
    </row>
    <row r="777" spans="4:10" ht="12.75" customHeight="1" x14ac:dyDescent="0.3">
      <c r="D777" s="2"/>
      <c r="E777" s="36"/>
      <c r="F777" s="37"/>
      <c r="G777" s="2"/>
      <c r="H777" s="2"/>
      <c r="I777" s="38"/>
      <c r="J777" s="39"/>
    </row>
    <row r="778" spans="4:10" ht="12.75" customHeight="1" x14ac:dyDescent="0.3">
      <c r="D778" s="2"/>
      <c r="E778" s="36"/>
      <c r="F778" s="37"/>
      <c r="G778" s="2"/>
      <c r="H778" s="2"/>
      <c r="I778" s="38"/>
      <c r="J778" s="39"/>
    </row>
    <row r="779" spans="4:10" ht="12.75" customHeight="1" x14ac:dyDescent="0.3">
      <c r="D779" s="2"/>
      <c r="E779" s="36"/>
      <c r="F779" s="37"/>
      <c r="G779" s="2"/>
      <c r="H779" s="2"/>
      <c r="I779" s="38"/>
      <c r="J779" s="39"/>
    </row>
    <row r="780" spans="4:10" ht="12.75" customHeight="1" x14ac:dyDescent="0.3">
      <c r="D780" s="2"/>
      <c r="E780" s="36"/>
      <c r="F780" s="37"/>
      <c r="G780" s="2"/>
      <c r="H780" s="2"/>
      <c r="I780" s="38"/>
      <c r="J780" s="39"/>
    </row>
    <row r="781" spans="4:10" ht="12.75" customHeight="1" x14ac:dyDescent="0.3">
      <c r="D781" s="2"/>
      <c r="E781" s="36"/>
      <c r="F781" s="37"/>
      <c r="G781" s="2"/>
      <c r="H781" s="2"/>
      <c r="I781" s="38"/>
      <c r="J781" s="39"/>
    </row>
    <row r="782" spans="4:10" ht="12.75" customHeight="1" x14ac:dyDescent="0.3">
      <c r="D782" s="2"/>
      <c r="E782" s="36"/>
      <c r="F782" s="37"/>
      <c r="G782" s="2"/>
      <c r="H782" s="2"/>
      <c r="I782" s="38"/>
      <c r="J782" s="39"/>
    </row>
    <row r="783" spans="4:10" ht="12.75" customHeight="1" x14ac:dyDescent="0.3">
      <c r="D783" s="2"/>
      <c r="E783" s="36"/>
      <c r="F783" s="37"/>
      <c r="G783" s="2"/>
      <c r="H783" s="2"/>
      <c r="I783" s="38"/>
      <c r="J783" s="39"/>
    </row>
    <row r="784" spans="4:10" ht="12.75" customHeight="1" x14ac:dyDescent="0.3">
      <c r="D784" s="2"/>
      <c r="E784" s="36"/>
      <c r="F784" s="37"/>
      <c r="G784" s="2"/>
      <c r="H784" s="2"/>
      <c r="I784" s="38"/>
      <c r="J784" s="39"/>
    </row>
    <row r="785" spans="4:10" ht="12.75" customHeight="1" x14ac:dyDescent="0.3">
      <c r="D785" s="2"/>
      <c r="E785" s="36"/>
      <c r="F785" s="37"/>
      <c r="G785" s="2"/>
      <c r="H785" s="2"/>
      <c r="I785" s="38"/>
      <c r="J785" s="39"/>
    </row>
    <row r="786" spans="4:10" ht="12.75" customHeight="1" x14ac:dyDescent="0.3">
      <c r="D786" s="2"/>
      <c r="E786" s="36"/>
      <c r="F786" s="37"/>
      <c r="G786" s="2"/>
      <c r="H786" s="2"/>
      <c r="I786" s="38"/>
      <c r="J786" s="39"/>
    </row>
    <row r="787" spans="4:10" ht="12.75" customHeight="1" x14ac:dyDescent="0.3">
      <c r="D787" s="2"/>
      <c r="E787" s="36"/>
      <c r="F787" s="37"/>
      <c r="G787" s="2"/>
      <c r="H787" s="2"/>
      <c r="I787" s="38"/>
      <c r="J787" s="39"/>
    </row>
    <row r="788" spans="4:10" ht="12.75" customHeight="1" x14ac:dyDescent="0.3">
      <c r="D788" s="2"/>
      <c r="E788" s="36"/>
      <c r="F788" s="37"/>
      <c r="G788" s="2"/>
      <c r="H788" s="2"/>
      <c r="I788" s="38"/>
      <c r="J788" s="39"/>
    </row>
    <row r="789" spans="4:10" ht="12.75" customHeight="1" x14ac:dyDescent="0.3">
      <c r="D789" s="2"/>
      <c r="E789" s="36"/>
      <c r="F789" s="37"/>
      <c r="G789" s="2"/>
      <c r="H789" s="2"/>
      <c r="I789" s="38"/>
      <c r="J789" s="39"/>
    </row>
    <row r="790" spans="4:10" ht="12.75" customHeight="1" x14ac:dyDescent="0.3">
      <c r="D790" s="2"/>
      <c r="E790" s="36"/>
      <c r="F790" s="37"/>
      <c r="G790" s="2"/>
      <c r="H790" s="2"/>
      <c r="I790" s="38"/>
      <c r="J790" s="39"/>
    </row>
    <row r="791" spans="4:10" ht="12.75" customHeight="1" x14ac:dyDescent="0.3">
      <c r="D791" s="2"/>
      <c r="E791" s="36"/>
      <c r="F791" s="37"/>
      <c r="G791" s="2"/>
      <c r="H791" s="2"/>
      <c r="I791" s="38"/>
      <c r="J791" s="39"/>
    </row>
    <row r="792" spans="4:10" ht="12.75" customHeight="1" x14ac:dyDescent="0.3">
      <c r="D792" s="2"/>
      <c r="E792" s="36"/>
      <c r="F792" s="37"/>
      <c r="G792" s="2"/>
      <c r="H792" s="2"/>
      <c r="I792" s="38"/>
      <c r="J792" s="39"/>
    </row>
    <row r="793" spans="4:10" ht="12.75" customHeight="1" x14ac:dyDescent="0.3">
      <c r="D793" s="2"/>
      <c r="E793" s="36"/>
      <c r="F793" s="37"/>
      <c r="G793" s="2"/>
      <c r="H793" s="2"/>
      <c r="I793" s="38"/>
      <c r="J793" s="39"/>
    </row>
    <row r="794" spans="4:10" ht="12.75" customHeight="1" x14ac:dyDescent="0.3">
      <c r="D794" s="2"/>
      <c r="E794" s="36"/>
      <c r="F794" s="37"/>
      <c r="G794" s="2"/>
      <c r="H794" s="2"/>
      <c r="I794" s="38"/>
      <c r="J794" s="39"/>
    </row>
    <row r="795" spans="4:10" ht="12.75" customHeight="1" x14ac:dyDescent="0.3">
      <c r="D795" s="2"/>
      <c r="E795" s="36"/>
      <c r="F795" s="37"/>
      <c r="G795" s="2"/>
      <c r="H795" s="2"/>
      <c r="I795" s="38"/>
      <c r="J795" s="39"/>
    </row>
    <row r="796" spans="4:10" ht="12.75" customHeight="1" x14ac:dyDescent="0.3">
      <c r="D796" s="2"/>
      <c r="E796" s="36"/>
      <c r="F796" s="37"/>
      <c r="G796" s="2"/>
      <c r="H796" s="2"/>
      <c r="I796" s="38"/>
      <c r="J796" s="39"/>
    </row>
    <row r="797" spans="4:10" ht="12.75" customHeight="1" x14ac:dyDescent="0.3">
      <c r="D797" s="2"/>
      <c r="E797" s="36"/>
      <c r="F797" s="37"/>
      <c r="G797" s="2"/>
      <c r="H797" s="2"/>
      <c r="I797" s="38"/>
      <c r="J797" s="39"/>
    </row>
    <row r="798" spans="4:10" ht="12.75" customHeight="1" x14ac:dyDescent="0.3">
      <c r="D798" s="2"/>
      <c r="E798" s="36"/>
      <c r="F798" s="37"/>
      <c r="G798" s="2"/>
      <c r="H798" s="2"/>
      <c r="I798" s="38"/>
      <c r="J798" s="39"/>
    </row>
    <row r="799" spans="4:10" ht="12.75" customHeight="1" x14ac:dyDescent="0.3">
      <c r="D799" s="2"/>
      <c r="E799" s="36"/>
      <c r="F799" s="37"/>
      <c r="G799" s="2"/>
      <c r="H799" s="2"/>
      <c r="I799" s="38"/>
      <c r="J799" s="39"/>
    </row>
    <row r="800" spans="4:10" ht="12.75" customHeight="1" x14ac:dyDescent="0.3">
      <c r="D800" s="2"/>
      <c r="E800" s="36"/>
      <c r="F800" s="37"/>
      <c r="G800" s="2"/>
      <c r="H800" s="2"/>
      <c r="I800" s="38"/>
      <c r="J800" s="39"/>
    </row>
    <row r="801" spans="4:10" ht="12.75" customHeight="1" x14ac:dyDescent="0.3">
      <c r="D801" s="2"/>
      <c r="E801" s="36"/>
      <c r="F801" s="37"/>
      <c r="G801" s="2"/>
      <c r="H801" s="2"/>
      <c r="I801" s="38"/>
      <c r="J801" s="39"/>
    </row>
    <row r="802" spans="4:10" ht="12.75" customHeight="1" x14ac:dyDescent="0.3">
      <c r="D802" s="2"/>
      <c r="E802" s="36"/>
      <c r="F802" s="37"/>
      <c r="G802" s="2"/>
      <c r="H802" s="2"/>
      <c r="I802" s="38"/>
      <c r="J802" s="39"/>
    </row>
    <row r="803" spans="4:10" ht="12.75" customHeight="1" x14ac:dyDescent="0.3">
      <c r="D803" s="2"/>
      <c r="E803" s="36"/>
      <c r="F803" s="37"/>
      <c r="G803" s="2"/>
      <c r="H803" s="2"/>
      <c r="I803" s="38"/>
      <c r="J803" s="39"/>
    </row>
    <row r="804" spans="4:10" ht="12.75" customHeight="1" x14ac:dyDescent="0.3">
      <c r="D804" s="2"/>
      <c r="E804" s="36"/>
      <c r="F804" s="37"/>
      <c r="G804" s="2"/>
      <c r="H804" s="2"/>
      <c r="I804" s="38"/>
      <c r="J804" s="39"/>
    </row>
    <row r="805" spans="4:10" ht="12.75" customHeight="1" x14ac:dyDescent="0.3">
      <c r="D805" s="2"/>
      <c r="E805" s="36"/>
      <c r="F805" s="37"/>
      <c r="G805" s="2"/>
      <c r="H805" s="2"/>
      <c r="I805" s="38"/>
      <c r="J805" s="39"/>
    </row>
    <row r="806" spans="4:10" ht="12.75" customHeight="1" x14ac:dyDescent="0.3">
      <c r="D806" s="2"/>
      <c r="E806" s="36"/>
      <c r="F806" s="37"/>
      <c r="G806" s="2"/>
      <c r="H806" s="2"/>
      <c r="I806" s="38"/>
      <c r="J806" s="39"/>
    </row>
    <row r="807" spans="4:10" ht="12.75" customHeight="1" x14ac:dyDescent="0.3">
      <c r="D807" s="2"/>
      <c r="E807" s="36"/>
      <c r="F807" s="37"/>
      <c r="G807" s="2"/>
      <c r="H807" s="2"/>
      <c r="I807" s="38"/>
      <c r="J807" s="39"/>
    </row>
    <row r="808" spans="4:10" ht="12.75" customHeight="1" x14ac:dyDescent="0.3">
      <c r="D808" s="2"/>
      <c r="E808" s="36"/>
      <c r="F808" s="37"/>
      <c r="G808" s="2"/>
      <c r="H808" s="2"/>
      <c r="I808" s="38"/>
      <c r="J808" s="39"/>
    </row>
    <row r="809" spans="4:10" ht="12.75" customHeight="1" x14ac:dyDescent="0.3">
      <c r="D809" s="2"/>
      <c r="E809" s="36"/>
      <c r="F809" s="37"/>
      <c r="G809" s="2"/>
      <c r="H809" s="2"/>
      <c r="I809" s="38"/>
      <c r="J809" s="39"/>
    </row>
    <row r="810" spans="4:10" ht="12.75" customHeight="1" x14ac:dyDescent="0.3">
      <c r="D810" s="2"/>
      <c r="E810" s="36"/>
      <c r="F810" s="37"/>
      <c r="G810" s="2"/>
      <c r="H810" s="2"/>
      <c r="I810" s="38"/>
      <c r="J810" s="39"/>
    </row>
    <row r="811" spans="4:10" ht="12.75" customHeight="1" x14ac:dyDescent="0.3">
      <c r="D811" s="2"/>
      <c r="E811" s="36"/>
      <c r="F811" s="37"/>
      <c r="G811" s="2"/>
      <c r="H811" s="2"/>
      <c r="I811" s="38"/>
      <c r="J811" s="39"/>
    </row>
    <row r="812" spans="4:10" ht="12.75" customHeight="1" x14ac:dyDescent="0.3">
      <c r="D812" s="2"/>
      <c r="E812" s="36"/>
      <c r="F812" s="37"/>
      <c r="G812" s="2"/>
      <c r="H812" s="2"/>
      <c r="I812" s="38"/>
      <c r="J812" s="39"/>
    </row>
    <row r="813" spans="4:10" ht="12.75" customHeight="1" x14ac:dyDescent="0.3">
      <c r="D813" s="2"/>
      <c r="E813" s="36"/>
      <c r="F813" s="37"/>
      <c r="G813" s="2"/>
      <c r="H813" s="2"/>
      <c r="I813" s="38"/>
      <c r="J813" s="39"/>
    </row>
    <row r="814" spans="4:10" ht="12.75" customHeight="1" x14ac:dyDescent="0.3">
      <c r="D814" s="2"/>
      <c r="E814" s="36"/>
      <c r="F814" s="37"/>
      <c r="G814" s="2"/>
      <c r="H814" s="2"/>
      <c r="I814" s="38"/>
      <c r="J814" s="39"/>
    </row>
    <row r="815" spans="4:10" ht="12.75" customHeight="1" x14ac:dyDescent="0.3">
      <c r="D815" s="2"/>
      <c r="E815" s="36"/>
      <c r="F815" s="37"/>
      <c r="G815" s="2"/>
      <c r="H815" s="2"/>
      <c r="I815" s="38"/>
      <c r="J815" s="39"/>
    </row>
    <row r="816" spans="4:10" ht="12.75" customHeight="1" x14ac:dyDescent="0.3">
      <c r="D816" s="2"/>
      <c r="E816" s="36"/>
      <c r="F816" s="37"/>
      <c r="G816" s="2"/>
      <c r="H816" s="2"/>
      <c r="I816" s="38"/>
      <c r="J816" s="39"/>
    </row>
    <row r="817" spans="4:10" ht="12.75" customHeight="1" x14ac:dyDescent="0.3">
      <c r="D817" s="2"/>
      <c r="E817" s="36"/>
      <c r="F817" s="37"/>
      <c r="G817" s="2"/>
      <c r="H817" s="2"/>
      <c r="I817" s="38"/>
      <c r="J817" s="39"/>
    </row>
    <row r="818" spans="4:10" ht="12.75" customHeight="1" x14ac:dyDescent="0.3">
      <c r="D818" s="2"/>
      <c r="E818" s="36"/>
      <c r="F818" s="37"/>
      <c r="G818" s="2"/>
      <c r="H818" s="2"/>
      <c r="I818" s="38"/>
      <c r="J818" s="39"/>
    </row>
    <row r="819" spans="4:10" ht="12.75" customHeight="1" x14ac:dyDescent="0.3">
      <c r="D819" s="2"/>
      <c r="E819" s="36"/>
      <c r="F819" s="37"/>
      <c r="G819" s="2"/>
      <c r="H819" s="2"/>
      <c r="I819" s="38"/>
      <c r="J819" s="39"/>
    </row>
    <row r="820" spans="4:10" ht="12.75" customHeight="1" x14ac:dyDescent="0.3">
      <c r="D820" s="2"/>
      <c r="E820" s="36"/>
      <c r="F820" s="37"/>
      <c r="G820" s="2"/>
      <c r="H820" s="2"/>
      <c r="I820" s="38"/>
      <c r="J820" s="39"/>
    </row>
    <row r="821" spans="4:10" ht="12.75" customHeight="1" x14ac:dyDescent="0.3">
      <c r="D821" s="2"/>
      <c r="E821" s="36"/>
      <c r="F821" s="37"/>
      <c r="G821" s="2"/>
      <c r="H821" s="2"/>
      <c r="I821" s="38"/>
      <c r="J821" s="39"/>
    </row>
    <row r="822" spans="4:10" ht="12.75" customHeight="1" x14ac:dyDescent="0.3">
      <c r="D822" s="2"/>
      <c r="E822" s="36"/>
      <c r="F822" s="37"/>
      <c r="G822" s="2"/>
      <c r="H822" s="2"/>
      <c r="I822" s="38"/>
      <c r="J822" s="39"/>
    </row>
    <row r="823" spans="4:10" ht="12.75" customHeight="1" x14ac:dyDescent="0.3">
      <c r="D823" s="2"/>
      <c r="E823" s="36"/>
      <c r="F823" s="37"/>
      <c r="G823" s="2"/>
      <c r="H823" s="2"/>
      <c r="I823" s="38"/>
      <c r="J823" s="39"/>
    </row>
    <row r="824" spans="4:10" ht="12.75" customHeight="1" x14ac:dyDescent="0.3">
      <c r="D824" s="2"/>
      <c r="E824" s="36"/>
      <c r="F824" s="37"/>
      <c r="G824" s="2"/>
      <c r="H824" s="2"/>
      <c r="I824" s="38"/>
      <c r="J824" s="39"/>
    </row>
    <row r="825" spans="4:10" ht="12.75" customHeight="1" x14ac:dyDescent="0.3">
      <c r="D825" s="2"/>
      <c r="E825" s="36"/>
      <c r="F825" s="37"/>
      <c r="G825" s="2"/>
      <c r="H825" s="2"/>
      <c r="I825" s="38"/>
      <c r="J825" s="39"/>
    </row>
    <row r="826" spans="4:10" ht="12.75" customHeight="1" x14ac:dyDescent="0.3">
      <c r="D826" s="2"/>
      <c r="E826" s="36"/>
      <c r="F826" s="37"/>
      <c r="G826" s="2"/>
      <c r="H826" s="2"/>
      <c r="I826" s="38"/>
      <c r="J826" s="39"/>
    </row>
    <row r="827" spans="4:10" ht="12.75" customHeight="1" x14ac:dyDescent="0.3">
      <c r="D827" s="2"/>
      <c r="E827" s="36"/>
      <c r="F827" s="37"/>
      <c r="G827" s="2"/>
      <c r="H827" s="2"/>
      <c r="I827" s="38"/>
      <c r="J827" s="39"/>
    </row>
    <row r="828" spans="4:10" ht="12.75" customHeight="1" x14ac:dyDescent="0.3">
      <c r="D828" s="2"/>
      <c r="E828" s="36"/>
      <c r="F828" s="37"/>
      <c r="G828" s="2"/>
      <c r="H828" s="2"/>
      <c r="I828" s="38"/>
      <c r="J828" s="39"/>
    </row>
    <row r="829" spans="4:10" ht="12.75" customHeight="1" x14ac:dyDescent="0.3">
      <c r="D829" s="2"/>
      <c r="E829" s="36"/>
      <c r="F829" s="37"/>
      <c r="G829" s="2"/>
      <c r="H829" s="2"/>
      <c r="I829" s="38"/>
      <c r="J829" s="39"/>
    </row>
    <row r="830" spans="4:10" ht="12.75" customHeight="1" x14ac:dyDescent="0.3">
      <c r="D830" s="2"/>
      <c r="E830" s="36"/>
      <c r="F830" s="37"/>
      <c r="G830" s="2"/>
      <c r="H830" s="2"/>
      <c r="I830" s="38"/>
      <c r="J830" s="39"/>
    </row>
    <row r="831" spans="4:10" ht="12.75" customHeight="1" x14ac:dyDescent="0.3">
      <c r="D831" s="2"/>
      <c r="E831" s="36"/>
      <c r="F831" s="37"/>
      <c r="G831" s="2"/>
      <c r="H831" s="2"/>
      <c r="I831" s="38"/>
      <c r="J831" s="39"/>
    </row>
    <row r="832" spans="4:10" ht="12.75" customHeight="1" x14ac:dyDescent="0.3">
      <c r="D832" s="2"/>
      <c r="E832" s="36"/>
      <c r="F832" s="37"/>
      <c r="G832" s="2"/>
      <c r="H832" s="2"/>
      <c r="I832" s="38"/>
      <c r="J832" s="39"/>
    </row>
    <row r="833" spans="4:10" ht="12.75" customHeight="1" x14ac:dyDescent="0.3">
      <c r="D833" s="2"/>
      <c r="E833" s="36"/>
      <c r="F833" s="37"/>
      <c r="G833" s="2"/>
      <c r="H833" s="2"/>
      <c r="I833" s="38"/>
      <c r="J833" s="39"/>
    </row>
    <row r="834" spans="4:10" ht="12.75" customHeight="1" x14ac:dyDescent="0.3">
      <c r="D834" s="2"/>
      <c r="E834" s="36"/>
      <c r="F834" s="37"/>
      <c r="G834" s="2"/>
      <c r="H834" s="2"/>
      <c r="I834" s="38"/>
      <c r="J834" s="39"/>
    </row>
    <row r="835" spans="4:10" ht="12.75" customHeight="1" x14ac:dyDescent="0.3">
      <c r="D835" s="2"/>
      <c r="E835" s="36"/>
      <c r="F835" s="37"/>
      <c r="G835" s="2"/>
      <c r="H835" s="2"/>
      <c r="I835" s="38"/>
      <c r="J835" s="39"/>
    </row>
    <row r="836" spans="4:10" ht="12.75" customHeight="1" x14ac:dyDescent="0.3">
      <c r="D836" s="2"/>
      <c r="E836" s="36"/>
      <c r="F836" s="37"/>
      <c r="G836" s="2"/>
      <c r="H836" s="2"/>
      <c r="I836" s="38"/>
      <c r="J836" s="39"/>
    </row>
    <row r="837" spans="4:10" ht="12.75" customHeight="1" x14ac:dyDescent="0.3">
      <c r="D837" s="2"/>
      <c r="E837" s="36"/>
      <c r="F837" s="37"/>
      <c r="G837" s="2"/>
      <c r="H837" s="2"/>
      <c r="I837" s="38"/>
      <c r="J837" s="39"/>
    </row>
    <row r="838" spans="4:10" ht="12.75" customHeight="1" x14ac:dyDescent="0.3">
      <c r="D838" s="2"/>
      <c r="E838" s="36"/>
      <c r="F838" s="37"/>
      <c r="G838" s="2"/>
      <c r="H838" s="2"/>
      <c r="I838" s="38"/>
      <c r="J838" s="39"/>
    </row>
    <row r="839" spans="4:10" ht="12.75" customHeight="1" x14ac:dyDescent="0.3">
      <c r="D839" s="2"/>
      <c r="E839" s="36"/>
      <c r="F839" s="37"/>
      <c r="G839" s="2"/>
      <c r="H839" s="2"/>
      <c r="I839" s="38"/>
      <c r="J839" s="39"/>
    </row>
    <row r="840" spans="4:10" ht="12.75" customHeight="1" x14ac:dyDescent="0.3">
      <c r="D840" s="2"/>
      <c r="E840" s="36"/>
      <c r="F840" s="37"/>
      <c r="G840" s="2"/>
      <c r="H840" s="2"/>
      <c r="I840" s="38"/>
      <c r="J840" s="39"/>
    </row>
    <row r="841" spans="4:10" ht="12.75" customHeight="1" x14ac:dyDescent="0.3">
      <c r="D841" s="2"/>
      <c r="E841" s="36"/>
      <c r="F841" s="37"/>
      <c r="G841" s="2"/>
      <c r="H841" s="2"/>
      <c r="I841" s="38"/>
      <c r="J841" s="39"/>
    </row>
    <row r="842" spans="4:10" ht="12.75" customHeight="1" x14ac:dyDescent="0.3">
      <c r="D842" s="2"/>
      <c r="E842" s="36"/>
      <c r="F842" s="37"/>
      <c r="G842" s="2"/>
      <c r="H842" s="2"/>
      <c r="I842" s="38"/>
      <c r="J842" s="39"/>
    </row>
    <row r="843" spans="4:10" ht="12.75" customHeight="1" x14ac:dyDescent="0.3">
      <c r="D843" s="2"/>
      <c r="E843" s="36"/>
      <c r="F843" s="37"/>
      <c r="G843" s="2"/>
      <c r="H843" s="2"/>
      <c r="I843" s="38"/>
      <c r="J843" s="39"/>
    </row>
    <row r="844" spans="4:10" ht="12.75" customHeight="1" x14ac:dyDescent="0.3">
      <c r="D844" s="2"/>
      <c r="E844" s="36"/>
      <c r="F844" s="37"/>
      <c r="G844" s="2"/>
      <c r="H844" s="2"/>
      <c r="I844" s="38"/>
      <c r="J844" s="39"/>
    </row>
    <row r="845" spans="4:10" ht="12.75" customHeight="1" x14ac:dyDescent="0.3">
      <c r="D845" s="2"/>
      <c r="E845" s="36"/>
      <c r="F845" s="37"/>
      <c r="G845" s="2"/>
      <c r="H845" s="2"/>
      <c r="I845" s="38"/>
      <c r="J845" s="39"/>
    </row>
    <row r="846" spans="4:10" ht="12.75" customHeight="1" x14ac:dyDescent="0.3">
      <c r="D846" s="2"/>
      <c r="E846" s="36"/>
      <c r="F846" s="37"/>
      <c r="G846" s="2"/>
      <c r="H846" s="2"/>
      <c r="I846" s="38"/>
      <c r="J846" s="39"/>
    </row>
    <row r="847" spans="4:10" ht="12.75" customHeight="1" x14ac:dyDescent="0.3">
      <c r="D847" s="2"/>
      <c r="E847" s="36"/>
      <c r="F847" s="37"/>
      <c r="G847" s="2"/>
      <c r="H847" s="2"/>
      <c r="I847" s="38"/>
      <c r="J847" s="39"/>
    </row>
    <row r="848" spans="4:10" ht="12.75" customHeight="1" x14ac:dyDescent="0.3">
      <c r="D848" s="2"/>
      <c r="E848" s="36"/>
      <c r="F848" s="37"/>
      <c r="G848" s="2"/>
      <c r="H848" s="2"/>
      <c r="I848" s="38"/>
      <c r="J848" s="39"/>
    </row>
    <row r="849" spans="4:10" ht="12.75" customHeight="1" x14ac:dyDescent="0.3">
      <c r="D849" s="2"/>
      <c r="E849" s="36"/>
      <c r="F849" s="37"/>
      <c r="G849" s="2"/>
      <c r="H849" s="2"/>
      <c r="I849" s="38"/>
      <c r="J849" s="39"/>
    </row>
    <row r="850" spans="4:10" ht="12.75" customHeight="1" x14ac:dyDescent="0.3">
      <c r="D850" s="2"/>
      <c r="E850" s="36"/>
      <c r="F850" s="37"/>
      <c r="G850" s="2"/>
      <c r="H850" s="2"/>
      <c r="I850" s="38"/>
      <c r="J850" s="39"/>
    </row>
    <row r="851" spans="4:10" ht="12.75" customHeight="1" x14ac:dyDescent="0.3">
      <c r="D851" s="2"/>
      <c r="E851" s="36"/>
      <c r="F851" s="37"/>
      <c r="G851" s="2"/>
      <c r="H851" s="2"/>
      <c r="I851" s="38"/>
      <c r="J851" s="39"/>
    </row>
    <row r="852" spans="4:10" ht="12.75" customHeight="1" x14ac:dyDescent="0.3">
      <c r="D852" s="2"/>
      <c r="E852" s="36"/>
      <c r="F852" s="37"/>
      <c r="G852" s="2"/>
      <c r="H852" s="2"/>
      <c r="I852" s="38"/>
      <c r="J852" s="39"/>
    </row>
    <row r="853" spans="4:10" ht="12.75" customHeight="1" x14ac:dyDescent="0.3">
      <c r="D853" s="2"/>
      <c r="E853" s="36"/>
      <c r="F853" s="37"/>
      <c r="G853" s="2"/>
      <c r="H853" s="2"/>
      <c r="I853" s="38"/>
      <c r="J853" s="39"/>
    </row>
    <row r="854" spans="4:10" ht="12.75" customHeight="1" x14ac:dyDescent="0.3">
      <c r="D854" s="2"/>
      <c r="E854" s="36"/>
      <c r="F854" s="37"/>
      <c r="G854" s="2"/>
      <c r="H854" s="2"/>
      <c r="I854" s="38"/>
      <c r="J854" s="39"/>
    </row>
    <row r="855" spans="4:10" ht="12.75" customHeight="1" x14ac:dyDescent="0.3">
      <c r="D855" s="2"/>
      <c r="E855" s="36"/>
      <c r="F855" s="37"/>
      <c r="G855" s="2"/>
      <c r="H855" s="2"/>
      <c r="I855" s="38"/>
      <c r="J855" s="39"/>
    </row>
    <row r="856" spans="4:10" ht="12.75" customHeight="1" x14ac:dyDescent="0.3">
      <c r="D856" s="2"/>
      <c r="E856" s="36"/>
      <c r="F856" s="37"/>
      <c r="G856" s="2"/>
      <c r="H856" s="2"/>
      <c r="I856" s="38"/>
      <c r="J856" s="39"/>
    </row>
    <row r="857" spans="4:10" ht="12.75" customHeight="1" x14ac:dyDescent="0.3">
      <c r="D857" s="2"/>
      <c r="E857" s="36"/>
      <c r="F857" s="37"/>
      <c r="G857" s="2"/>
      <c r="H857" s="2"/>
      <c r="I857" s="38"/>
      <c r="J857" s="39"/>
    </row>
    <row r="858" spans="4:10" ht="12.75" customHeight="1" x14ac:dyDescent="0.3">
      <c r="D858" s="2"/>
      <c r="E858" s="36"/>
      <c r="F858" s="37"/>
      <c r="G858" s="2"/>
      <c r="H858" s="2"/>
      <c r="I858" s="38"/>
      <c r="J858" s="39"/>
    </row>
    <row r="859" spans="4:10" ht="12.75" customHeight="1" x14ac:dyDescent="0.3">
      <c r="D859" s="2"/>
      <c r="E859" s="36"/>
      <c r="F859" s="37"/>
      <c r="G859" s="2"/>
      <c r="H859" s="2"/>
      <c r="I859" s="38"/>
      <c r="J859" s="39"/>
    </row>
    <row r="860" spans="4:10" ht="12.75" customHeight="1" x14ac:dyDescent="0.3">
      <c r="D860" s="2"/>
      <c r="E860" s="36"/>
      <c r="F860" s="37"/>
      <c r="G860" s="2"/>
      <c r="H860" s="2"/>
      <c r="I860" s="38"/>
      <c r="J860" s="39"/>
    </row>
    <row r="861" spans="4:10" ht="12.75" customHeight="1" x14ac:dyDescent="0.3">
      <c r="D861" s="2"/>
      <c r="E861" s="36"/>
      <c r="F861" s="37"/>
      <c r="G861" s="2"/>
      <c r="H861" s="2"/>
      <c r="I861" s="38"/>
      <c r="J861" s="39"/>
    </row>
    <row r="862" spans="4:10" ht="12.75" customHeight="1" x14ac:dyDescent="0.3">
      <c r="D862" s="2"/>
      <c r="E862" s="36"/>
      <c r="F862" s="37"/>
      <c r="G862" s="2"/>
      <c r="H862" s="2"/>
      <c r="I862" s="38"/>
      <c r="J862" s="39"/>
    </row>
    <row r="863" spans="4:10" ht="12.75" customHeight="1" x14ac:dyDescent="0.3">
      <c r="D863" s="2"/>
      <c r="E863" s="36"/>
      <c r="F863" s="37"/>
      <c r="G863" s="2"/>
      <c r="H863" s="2"/>
      <c r="I863" s="38"/>
      <c r="J863" s="39"/>
    </row>
    <row r="864" spans="4:10" ht="12.75" customHeight="1" x14ac:dyDescent="0.3">
      <c r="D864" s="2"/>
      <c r="E864" s="36"/>
      <c r="F864" s="37"/>
      <c r="G864" s="2"/>
      <c r="H864" s="2"/>
      <c r="I864" s="38"/>
      <c r="J864" s="39"/>
    </row>
    <row r="865" spans="4:10" ht="12.75" customHeight="1" x14ac:dyDescent="0.3">
      <c r="D865" s="2"/>
      <c r="E865" s="36"/>
      <c r="F865" s="37"/>
      <c r="G865" s="2"/>
      <c r="H865" s="2"/>
      <c r="I865" s="38"/>
      <c r="J865" s="39"/>
    </row>
    <row r="866" spans="4:10" ht="12.75" customHeight="1" x14ac:dyDescent="0.3">
      <c r="D866" s="2"/>
      <c r="E866" s="36"/>
      <c r="F866" s="37"/>
      <c r="G866" s="2"/>
      <c r="H866" s="2"/>
      <c r="I866" s="38"/>
      <c r="J866" s="39"/>
    </row>
    <row r="867" spans="4:10" ht="12.75" customHeight="1" x14ac:dyDescent="0.3">
      <c r="D867" s="2"/>
      <c r="E867" s="36"/>
      <c r="F867" s="37"/>
      <c r="G867" s="2"/>
      <c r="H867" s="2"/>
      <c r="I867" s="38"/>
      <c r="J867" s="39"/>
    </row>
    <row r="868" spans="4:10" ht="12.75" customHeight="1" x14ac:dyDescent="0.3">
      <c r="D868" s="2"/>
      <c r="E868" s="36"/>
      <c r="F868" s="37"/>
      <c r="G868" s="2"/>
      <c r="H868" s="2"/>
      <c r="I868" s="38"/>
      <c r="J868" s="39"/>
    </row>
    <row r="869" spans="4:10" ht="12.75" customHeight="1" x14ac:dyDescent="0.3">
      <c r="D869" s="2"/>
      <c r="E869" s="36"/>
      <c r="F869" s="37"/>
      <c r="G869" s="2"/>
      <c r="H869" s="2"/>
      <c r="I869" s="38"/>
      <c r="J869" s="39"/>
    </row>
    <row r="870" spans="4:10" ht="12.75" customHeight="1" x14ac:dyDescent="0.3">
      <c r="D870" s="2"/>
      <c r="E870" s="36"/>
      <c r="F870" s="37"/>
      <c r="G870" s="2"/>
      <c r="H870" s="2"/>
      <c r="I870" s="38"/>
      <c r="J870" s="39"/>
    </row>
    <row r="871" spans="4:10" ht="12.75" customHeight="1" x14ac:dyDescent="0.3">
      <c r="D871" s="2"/>
      <c r="E871" s="36"/>
      <c r="F871" s="37"/>
      <c r="G871" s="2"/>
      <c r="H871" s="2"/>
      <c r="I871" s="38"/>
      <c r="J871" s="39"/>
    </row>
    <row r="872" spans="4:10" ht="12.75" customHeight="1" x14ac:dyDescent="0.3">
      <c r="D872" s="2"/>
      <c r="E872" s="36"/>
      <c r="F872" s="37"/>
      <c r="G872" s="2"/>
      <c r="H872" s="2"/>
      <c r="I872" s="38"/>
      <c r="J872" s="39"/>
    </row>
    <row r="873" spans="4:10" ht="12.75" customHeight="1" x14ac:dyDescent="0.3">
      <c r="D873" s="2"/>
      <c r="E873" s="36"/>
      <c r="F873" s="37"/>
      <c r="G873" s="2"/>
      <c r="H873" s="2"/>
      <c r="I873" s="38"/>
      <c r="J873" s="39"/>
    </row>
    <row r="874" spans="4:10" ht="12.75" customHeight="1" x14ac:dyDescent="0.3">
      <c r="D874" s="2"/>
      <c r="E874" s="36"/>
      <c r="F874" s="37"/>
      <c r="G874" s="2"/>
      <c r="H874" s="2"/>
      <c r="I874" s="38"/>
      <c r="J874" s="39"/>
    </row>
    <row r="875" spans="4:10" ht="12.75" customHeight="1" x14ac:dyDescent="0.3">
      <c r="D875" s="2"/>
      <c r="E875" s="36"/>
      <c r="F875" s="37"/>
      <c r="G875" s="2"/>
      <c r="H875" s="2"/>
      <c r="I875" s="38"/>
      <c r="J875" s="39"/>
    </row>
    <row r="876" spans="4:10" ht="12.75" customHeight="1" x14ac:dyDescent="0.3">
      <c r="D876" s="2"/>
      <c r="E876" s="36"/>
      <c r="F876" s="37"/>
      <c r="G876" s="2"/>
      <c r="H876" s="2"/>
      <c r="I876" s="38"/>
      <c r="J876" s="39"/>
    </row>
    <row r="877" spans="4:10" ht="12.75" customHeight="1" x14ac:dyDescent="0.3">
      <c r="D877" s="2"/>
      <c r="E877" s="36"/>
      <c r="F877" s="37"/>
      <c r="G877" s="2"/>
      <c r="H877" s="2"/>
      <c r="I877" s="38"/>
      <c r="J877" s="39"/>
    </row>
    <row r="878" spans="4:10" ht="12.75" customHeight="1" x14ac:dyDescent="0.3">
      <c r="D878" s="2"/>
      <c r="E878" s="36"/>
      <c r="F878" s="37"/>
      <c r="G878" s="2"/>
      <c r="H878" s="2"/>
      <c r="I878" s="38"/>
      <c r="J878" s="39"/>
    </row>
    <row r="879" spans="4:10" ht="12.75" customHeight="1" x14ac:dyDescent="0.3">
      <c r="D879" s="2"/>
      <c r="E879" s="36"/>
      <c r="F879" s="37"/>
      <c r="G879" s="2"/>
      <c r="H879" s="2"/>
      <c r="I879" s="38"/>
      <c r="J879" s="39"/>
    </row>
    <row r="880" spans="4:10" ht="12.75" customHeight="1" x14ac:dyDescent="0.3">
      <c r="D880" s="2"/>
      <c r="E880" s="36"/>
      <c r="F880" s="37"/>
      <c r="G880" s="2"/>
      <c r="H880" s="2"/>
      <c r="I880" s="38"/>
      <c r="J880" s="39"/>
    </row>
    <row r="881" spans="4:10" ht="12.75" customHeight="1" x14ac:dyDescent="0.3">
      <c r="D881" s="2"/>
      <c r="E881" s="36"/>
      <c r="F881" s="37"/>
      <c r="G881" s="2"/>
      <c r="H881" s="2"/>
      <c r="I881" s="38"/>
      <c r="J881" s="39"/>
    </row>
    <row r="882" spans="4:10" ht="12.75" customHeight="1" x14ac:dyDescent="0.3">
      <c r="D882" s="2"/>
      <c r="E882" s="36"/>
      <c r="F882" s="37"/>
      <c r="G882" s="2"/>
      <c r="H882" s="2"/>
      <c r="I882" s="38"/>
      <c r="J882" s="39"/>
    </row>
    <row r="883" spans="4:10" ht="12.75" customHeight="1" x14ac:dyDescent="0.3">
      <c r="D883" s="2"/>
      <c r="E883" s="36"/>
      <c r="F883" s="37"/>
      <c r="G883" s="2"/>
      <c r="H883" s="2"/>
      <c r="I883" s="38"/>
      <c r="J883" s="39"/>
    </row>
    <row r="884" spans="4:10" ht="12.75" customHeight="1" x14ac:dyDescent="0.3">
      <c r="D884" s="2"/>
      <c r="E884" s="36"/>
      <c r="F884" s="37"/>
      <c r="G884" s="2"/>
      <c r="H884" s="2"/>
      <c r="I884" s="38"/>
      <c r="J884" s="39"/>
    </row>
    <row r="885" spans="4:10" ht="12.75" customHeight="1" x14ac:dyDescent="0.3">
      <c r="D885" s="2"/>
      <c r="E885" s="36"/>
      <c r="F885" s="37"/>
      <c r="G885" s="2"/>
      <c r="H885" s="2"/>
      <c r="I885" s="38"/>
      <c r="J885" s="39"/>
    </row>
    <row r="886" spans="4:10" ht="12.75" customHeight="1" x14ac:dyDescent="0.3">
      <c r="D886" s="2"/>
      <c r="E886" s="36"/>
      <c r="F886" s="37"/>
      <c r="G886" s="2"/>
      <c r="H886" s="2"/>
      <c r="I886" s="38"/>
      <c r="J886" s="39"/>
    </row>
    <row r="887" spans="4:10" ht="12.75" customHeight="1" x14ac:dyDescent="0.3">
      <c r="D887" s="2"/>
      <c r="E887" s="36"/>
      <c r="F887" s="37"/>
      <c r="G887" s="2"/>
      <c r="H887" s="2"/>
      <c r="I887" s="38"/>
      <c r="J887" s="39"/>
    </row>
    <row r="888" spans="4:10" ht="12.75" customHeight="1" x14ac:dyDescent="0.3">
      <c r="D888" s="2"/>
      <c r="E888" s="36"/>
      <c r="F888" s="37"/>
      <c r="G888" s="2"/>
      <c r="H888" s="2"/>
      <c r="I888" s="38"/>
      <c r="J888" s="39"/>
    </row>
    <row r="889" spans="4:10" ht="12.75" customHeight="1" x14ac:dyDescent="0.3">
      <c r="D889" s="2"/>
      <c r="E889" s="36"/>
      <c r="F889" s="37"/>
      <c r="G889" s="2"/>
      <c r="H889" s="2"/>
      <c r="I889" s="38"/>
      <c r="J889" s="39"/>
    </row>
    <row r="890" spans="4:10" ht="12.75" customHeight="1" x14ac:dyDescent="0.3">
      <c r="D890" s="2"/>
      <c r="E890" s="36"/>
      <c r="F890" s="37"/>
      <c r="G890" s="2"/>
      <c r="H890" s="2"/>
      <c r="I890" s="38"/>
      <c r="J890" s="39"/>
    </row>
    <row r="891" spans="4:10" ht="12.75" customHeight="1" x14ac:dyDescent="0.3">
      <c r="D891" s="2"/>
      <c r="E891" s="36"/>
      <c r="F891" s="37"/>
      <c r="G891" s="2"/>
      <c r="H891" s="2"/>
      <c r="I891" s="38"/>
      <c r="J891" s="39"/>
    </row>
    <row r="892" spans="4:10" ht="12.75" customHeight="1" x14ac:dyDescent="0.3">
      <c r="D892" s="2"/>
      <c r="E892" s="36"/>
      <c r="F892" s="37"/>
      <c r="G892" s="2"/>
      <c r="H892" s="2"/>
      <c r="I892" s="38"/>
      <c r="J892" s="39"/>
    </row>
    <row r="893" spans="4:10" ht="12.75" customHeight="1" x14ac:dyDescent="0.3">
      <c r="D893" s="2"/>
      <c r="E893" s="36"/>
      <c r="F893" s="37"/>
      <c r="G893" s="2"/>
      <c r="H893" s="2"/>
      <c r="I893" s="38"/>
      <c r="J893" s="39"/>
    </row>
    <row r="894" spans="4:10" ht="12.75" customHeight="1" x14ac:dyDescent="0.3">
      <c r="D894" s="2"/>
      <c r="E894" s="36"/>
      <c r="F894" s="37"/>
      <c r="G894" s="2"/>
      <c r="H894" s="2"/>
      <c r="I894" s="38"/>
      <c r="J894" s="39"/>
    </row>
    <row r="895" spans="4:10" ht="12.75" customHeight="1" x14ac:dyDescent="0.3">
      <c r="D895" s="2"/>
      <c r="E895" s="36"/>
      <c r="F895" s="37"/>
      <c r="G895" s="2"/>
      <c r="H895" s="2"/>
      <c r="I895" s="38"/>
      <c r="J895" s="39"/>
    </row>
    <row r="896" spans="4:10" ht="12.75" customHeight="1" x14ac:dyDescent="0.3">
      <c r="D896" s="2"/>
      <c r="E896" s="36"/>
      <c r="F896" s="37"/>
      <c r="G896" s="2"/>
      <c r="H896" s="2"/>
      <c r="I896" s="38"/>
      <c r="J896" s="39"/>
    </row>
    <row r="897" spans="4:10" ht="12.75" customHeight="1" x14ac:dyDescent="0.3">
      <c r="D897" s="2"/>
      <c r="E897" s="36"/>
      <c r="F897" s="37"/>
      <c r="G897" s="2"/>
      <c r="H897" s="2"/>
      <c r="I897" s="38"/>
      <c r="J897" s="39"/>
    </row>
    <row r="898" spans="4:10" ht="12.75" customHeight="1" x14ac:dyDescent="0.3">
      <c r="D898" s="2"/>
      <c r="E898" s="36"/>
      <c r="F898" s="37"/>
      <c r="G898" s="2"/>
      <c r="H898" s="2"/>
      <c r="I898" s="38"/>
      <c r="J898" s="39"/>
    </row>
    <row r="899" spans="4:10" ht="12.75" customHeight="1" x14ac:dyDescent="0.3">
      <c r="D899" s="2"/>
      <c r="E899" s="36"/>
      <c r="F899" s="37"/>
      <c r="G899" s="2"/>
      <c r="H899" s="2"/>
      <c r="I899" s="38"/>
      <c r="J899" s="39"/>
    </row>
    <row r="900" spans="4:10" ht="12.75" customHeight="1" x14ac:dyDescent="0.3">
      <c r="D900" s="2"/>
      <c r="E900" s="36"/>
      <c r="F900" s="37"/>
      <c r="G900" s="2"/>
      <c r="H900" s="2"/>
      <c r="I900" s="38"/>
      <c r="J900" s="39"/>
    </row>
    <row r="901" spans="4:10" ht="12.75" customHeight="1" x14ac:dyDescent="0.3">
      <c r="D901" s="2"/>
      <c r="E901" s="36"/>
      <c r="F901" s="37"/>
      <c r="G901" s="2"/>
      <c r="H901" s="2"/>
      <c r="I901" s="38"/>
      <c r="J901" s="39"/>
    </row>
    <row r="902" spans="4:10" ht="12.75" customHeight="1" x14ac:dyDescent="0.3">
      <c r="D902" s="2"/>
      <c r="E902" s="36"/>
      <c r="F902" s="37"/>
      <c r="G902" s="2"/>
      <c r="H902" s="2"/>
      <c r="I902" s="38"/>
      <c r="J902" s="39"/>
    </row>
    <row r="903" spans="4:10" ht="12.75" customHeight="1" x14ac:dyDescent="0.3">
      <c r="D903" s="2"/>
      <c r="E903" s="36"/>
      <c r="F903" s="37"/>
      <c r="G903" s="2"/>
      <c r="H903" s="2"/>
      <c r="I903" s="38"/>
      <c r="J903" s="39"/>
    </row>
    <row r="904" spans="4:10" ht="12.75" customHeight="1" x14ac:dyDescent="0.3">
      <c r="D904" s="2"/>
      <c r="E904" s="36"/>
      <c r="F904" s="37"/>
      <c r="G904" s="2"/>
      <c r="H904" s="2"/>
      <c r="I904" s="38"/>
      <c r="J904" s="39"/>
    </row>
    <row r="905" spans="4:10" ht="12.75" customHeight="1" x14ac:dyDescent="0.3">
      <c r="D905" s="2"/>
      <c r="E905" s="36"/>
      <c r="F905" s="37"/>
      <c r="G905" s="2"/>
      <c r="H905" s="2"/>
      <c r="I905" s="38"/>
      <c r="J905" s="39"/>
    </row>
    <row r="906" spans="4:10" ht="12.75" customHeight="1" x14ac:dyDescent="0.3">
      <c r="D906" s="2"/>
      <c r="E906" s="36"/>
      <c r="F906" s="37"/>
      <c r="G906" s="2"/>
      <c r="H906" s="2"/>
      <c r="I906" s="38"/>
      <c r="J906" s="39"/>
    </row>
    <row r="907" spans="4:10" ht="12.75" customHeight="1" x14ac:dyDescent="0.3">
      <c r="D907" s="2"/>
      <c r="E907" s="36"/>
      <c r="F907" s="37"/>
      <c r="G907" s="2"/>
      <c r="H907" s="2"/>
      <c r="I907" s="38"/>
      <c r="J907" s="39"/>
    </row>
    <row r="908" spans="4:10" ht="12.75" customHeight="1" x14ac:dyDescent="0.3">
      <c r="D908" s="2"/>
      <c r="E908" s="36"/>
      <c r="F908" s="37"/>
      <c r="G908" s="2"/>
      <c r="H908" s="2"/>
      <c r="I908" s="38"/>
      <c r="J908" s="39"/>
    </row>
    <row r="909" spans="4:10" ht="12.75" customHeight="1" x14ac:dyDescent="0.3">
      <c r="D909" s="2"/>
      <c r="E909" s="36"/>
      <c r="F909" s="37"/>
      <c r="G909" s="2"/>
      <c r="H909" s="2"/>
      <c r="I909" s="38"/>
      <c r="J909" s="39"/>
    </row>
    <row r="910" spans="4:10" ht="12.75" customHeight="1" x14ac:dyDescent="0.3">
      <c r="D910" s="2"/>
      <c r="E910" s="36"/>
      <c r="F910" s="37"/>
      <c r="G910" s="2"/>
      <c r="H910" s="2"/>
      <c r="I910" s="38"/>
      <c r="J910" s="39"/>
    </row>
    <row r="911" spans="4:10" ht="12.75" customHeight="1" x14ac:dyDescent="0.3">
      <c r="D911" s="2"/>
      <c r="E911" s="36"/>
      <c r="F911" s="37"/>
      <c r="G911" s="2"/>
      <c r="H911" s="2"/>
      <c r="I911" s="38"/>
      <c r="J911" s="39"/>
    </row>
    <row r="912" spans="4:10" ht="12.75" customHeight="1" x14ac:dyDescent="0.3">
      <c r="D912" s="2"/>
      <c r="E912" s="36"/>
      <c r="F912" s="37"/>
      <c r="G912" s="2"/>
      <c r="H912" s="2"/>
      <c r="I912" s="38"/>
      <c r="J912" s="39"/>
    </row>
    <row r="913" spans="4:10" ht="12.75" customHeight="1" x14ac:dyDescent="0.3">
      <c r="D913" s="2"/>
      <c r="E913" s="36"/>
      <c r="F913" s="37"/>
      <c r="G913" s="2"/>
      <c r="H913" s="2"/>
      <c r="I913" s="38"/>
      <c r="J913" s="39"/>
    </row>
    <row r="914" spans="4:10" ht="12.75" customHeight="1" x14ac:dyDescent="0.3">
      <c r="D914" s="2"/>
      <c r="E914" s="36"/>
      <c r="F914" s="37"/>
      <c r="G914" s="2"/>
      <c r="H914" s="2"/>
      <c r="I914" s="38"/>
      <c r="J914" s="39"/>
    </row>
    <row r="915" spans="4:10" ht="12.75" customHeight="1" x14ac:dyDescent="0.3">
      <c r="D915" s="2"/>
      <c r="E915" s="36"/>
      <c r="F915" s="37"/>
      <c r="G915" s="2"/>
      <c r="H915" s="2"/>
      <c r="I915" s="38"/>
      <c r="J915" s="39"/>
    </row>
    <row r="916" spans="4:10" ht="12.75" customHeight="1" x14ac:dyDescent="0.3">
      <c r="D916" s="2"/>
      <c r="E916" s="36"/>
      <c r="F916" s="37"/>
      <c r="G916" s="2"/>
      <c r="H916" s="2"/>
      <c r="I916" s="38"/>
      <c r="J916" s="39"/>
    </row>
    <row r="917" spans="4:10" ht="12.75" customHeight="1" x14ac:dyDescent="0.3">
      <c r="D917" s="2"/>
      <c r="E917" s="36"/>
      <c r="F917" s="37"/>
      <c r="G917" s="2"/>
      <c r="H917" s="2"/>
      <c r="I917" s="38"/>
      <c r="J917" s="39"/>
    </row>
    <row r="918" spans="4:10" ht="12.75" customHeight="1" x14ac:dyDescent="0.3">
      <c r="D918" s="2"/>
      <c r="E918" s="36"/>
      <c r="F918" s="37"/>
      <c r="G918" s="2"/>
      <c r="H918" s="2"/>
      <c r="I918" s="38"/>
      <c r="J918" s="39"/>
    </row>
    <row r="919" spans="4:10" ht="12.75" customHeight="1" x14ac:dyDescent="0.3">
      <c r="D919" s="2"/>
      <c r="E919" s="36"/>
      <c r="F919" s="37"/>
      <c r="G919" s="2"/>
      <c r="H919" s="2"/>
      <c r="I919" s="38"/>
      <c r="J919" s="39"/>
    </row>
    <row r="920" spans="4:10" ht="12.75" customHeight="1" x14ac:dyDescent="0.3">
      <c r="D920" s="2"/>
      <c r="E920" s="36"/>
      <c r="F920" s="37"/>
      <c r="G920" s="2"/>
      <c r="H920" s="2"/>
      <c r="I920" s="38"/>
      <c r="J920" s="39"/>
    </row>
    <row r="921" spans="4:10" ht="12.75" customHeight="1" x14ac:dyDescent="0.3">
      <c r="D921" s="2"/>
      <c r="E921" s="36"/>
      <c r="F921" s="37"/>
      <c r="G921" s="2"/>
      <c r="H921" s="2"/>
      <c r="I921" s="38"/>
      <c r="J921" s="39"/>
    </row>
    <row r="922" spans="4:10" ht="12.75" customHeight="1" x14ac:dyDescent="0.3">
      <c r="D922" s="2"/>
      <c r="E922" s="36"/>
      <c r="F922" s="37"/>
      <c r="G922" s="2"/>
      <c r="H922" s="2"/>
      <c r="I922" s="38"/>
      <c r="J922" s="39"/>
    </row>
    <row r="923" spans="4:10" ht="12.75" customHeight="1" x14ac:dyDescent="0.3">
      <c r="D923" s="2"/>
      <c r="E923" s="36"/>
      <c r="F923" s="37"/>
      <c r="G923" s="2"/>
      <c r="H923" s="2"/>
      <c r="I923" s="38"/>
      <c r="J923" s="39"/>
    </row>
    <row r="924" spans="4:10" ht="12.75" customHeight="1" x14ac:dyDescent="0.3">
      <c r="D924" s="2"/>
      <c r="E924" s="36"/>
      <c r="F924" s="37"/>
      <c r="G924" s="2"/>
      <c r="H924" s="2"/>
      <c r="I924" s="38"/>
      <c r="J924" s="39"/>
    </row>
    <row r="925" spans="4:10" ht="12.75" customHeight="1" x14ac:dyDescent="0.3">
      <c r="D925" s="2"/>
      <c r="E925" s="36"/>
      <c r="F925" s="37"/>
      <c r="G925" s="2"/>
      <c r="H925" s="2"/>
      <c r="I925" s="38"/>
      <c r="J925" s="39"/>
    </row>
    <row r="926" spans="4:10" ht="12.75" customHeight="1" x14ac:dyDescent="0.3">
      <c r="D926" s="2"/>
      <c r="E926" s="36"/>
      <c r="F926" s="37"/>
      <c r="G926" s="2"/>
      <c r="H926" s="2"/>
      <c r="I926" s="38"/>
      <c r="J926" s="39"/>
    </row>
    <row r="927" spans="4:10" ht="12.75" customHeight="1" x14ac:dyDescent="0.3">
      <c r="D927" s="2"/>
      <c r="E927" s="36"/>
      <c r="F927" s="37"/>
      <c r="G927" s="2"/>
      <c r="H927" s="2"/>
      <c r="I927" s="38"/>
      <c r="J927" s="39"/>
    </row>
    <row r="928" spans="4:10" ht="12.75" customHeight="1" x14ac:dyDescent="0.3">
      <c r="D928" s="2"/>
      <c r="E928" s="36"/>
      <c r="F928" s="37"/>
      <c r="G928" s="2"/>
      <c r="H928" s="2"/>
      <c r="I928" s="38"/>
      <c r="J928" s="39"/>
    </row>
    <row r="929" spans="4:10" ht="12.75" customHeight="1" x14ac:dyDescent="0.3">
      <c r="D929" s="2"/>
      <c r="E929" s="36"/>
      <c r="F929" s="37"/>
      <c r="G929" s="2"/>
      <c r="H929" s="2"/>
      <c r="I929" s="38"/>
      <c r="J929" s="39"/>
    </row>
    <row r="930" spans="4:10" ht="12.75" customHeight="1" x14ac:dyDescent="0.3">
      <c r="D930" s="2"/>
      <c r="E930" s="36"/>
      <c r="F930" s="37"/>
      <c r="G930" s="2"/>
      <c r="H930" s="2"/>
      <c r="I930" s="38"/>
      <c r="J930" s="39"/>
    </row>
    <row r="931" spans="4:10" ht="12.75" customHeight="1" x14ac:dyDescent="0.3">
      <c r="D931" s="2"/>
      <c r="E931" s="36"/>
      <c r="F931" s="37"/>
      <c r="G931" s="2"/>
      <c r="H931" s="2"/>
      <c r="I931" s="38"/>
      <c r="J931" s="39"/>
    </row>
    <row r="932" spans="4:10" ht="12.75" customHeight="1" x14ac:dyDescent="0.3">
      <c r="D932" s="2"/>
      <c r="E932" s="36"/>
      <c r="F932" s="37"/>
      <c r="G932" s="2"/>
      <c r="H932" s="2"/>
      <c r="I932" s="38"/>
      <c r="J932" s="39"/>
    </row>
    <row r="933" spans="4:10" ht="12.75" customHeight="1" x14ac:dyDescent="0.3">
      <c r="D933" s="2"/>
      <c r="E933" s="36"/>
      <c r="F933" s="37"/>
      <c r="G933" s="2"/>
      <c r="H933" s="2"/>
      <c r="I933" s="38"/>
      <c r="J933" s="39"/>
    </row>
    <row r="934" spans="4:10" ht="12.75" customHeight="1" x14ac:dyDescent="0.3">
      <c r="D934" s="2"/>
      <c r="E934" s="36"/>
      <c r="F934" s="37"/>
      <c r="G934" s="2"/>
      <c r="H934" s="2"/>
      <c r="I934" s="38"/>
      <c r="J934" s="39"/>
    </row>
    <row r="935" spans="4:10" ht="12.75" customHeight="1" x14ac:dyDescent="0.3">
      <c r="D935" s="2"/>
      <c r="E935" s="36"/>
      <c r="F935" s="37"/>
      <c r="G935" s="2"/>
      <c r="H935" s="2"/>
      <c r="I935" s="38"/>
      <c r="J935" s="39"/>
    </row>
    <row r="936" spans="4:10" ht="12.75" customHeight="1" x14ac:dyDescent="0.3">
      <c r="D936" s="2"/>
      <c r="E936" s="36"/>
      <c r="F936" s="37"/>
      <c r="G936" s="2"/>
      <c r="H936" s="2"/>
      <c r="I936" s="38"/>
      <c r="J936" s="39"/>
    </row>
    <row r="937" spans="4:10" ht="12.75" customHeight="1" x14ac:dyDescent="0.3">
      <c r="D937" s="2"/>
      <c r="E937" s="36"/>
      <c r="F937" s="37"/>
      <c r="G937" s="2"/>
      <c r="H937" s="2"/>
      <c r="I937" s="38"/>
      <c r="J937" s="39"/>
    </row>
    <row r="938" spans="4:10" ht="12.75" customHeight="1" x14ac:dyDescent="0.3">
      <c r="D938" s="2"/>
      <c r="E938" s="36"/>
      <c r="F938" s="37"/>
      <c r="G938" s="2"/>
      <c r="H938" s="2"/>
      <c r="I938" s="38"/>
      <c r="J938" s="39"/>
    </row>
    <row r="939" spans="4:10" ht="12.75" customHeight="1" x14ac:dyDescent="0.3">
      <c r="D939" s="2"/>
      <c r="E939" s="36"/>
      <c r="F939" s="37"/>
      <c r="G939" s="2"/>
      <c r="H939" s="2"/>
      <c r="I939" s="38"/>
      <c r="J939" s="39"/>
    </row>
    <row r="940" spans="4:10" ht="12.75" customHeight="1" x14ac:dyDescent="0.3">
      <c r="D940" s="2"/>
      <c r="E940" s="36"/>
      <c r="F940" s="37"/>
      <c r="G940" s="2"/>
      <c r="H940" s="2"/>
      <c r="I940" s="38"/>
      <c r="J940" s="39"/>
    </row>
    <row r="941" spans="4:10" ht="12.75" customHeight="1" x14ac:dyDescent="0.3">
      <c r="D941" s="2"/>
      <c r="E941" s="36"/>
      <c r="F941" s="37"/>
      <c r="G941" s="2"/>
      <c r="H941" s="2"/>
      <c r="I941" s="38"/>
      <c r="J941" s="39"/>
    </row>
    <row r="942" spans="4:10" ht="12.75" customHeight="1" x14ac:dyDescent="0.3">
      <c r="D942" s="2"/>
      <c r="E942" s="36"/>
      <c r="F942" s="37"/>
      <c r="G942" s="2"/>
      <c r="H942" s="2"/>
      <c r="I942" s="38"/>
      <c r="J942" s="39"/>
    </row>
    <row r="943" spans="4:10" ht="12.75" customHeight="1" x14ac:dyDescent="0.3">
      <c r="D943" s="2"/>
      <c r="E943" s="36"/>
      <c r="F943" s="37"/>
      <c r="G943" s="2"/>
      <c r="H943" s="2"/>
      <c r="I943" s="38"/>
      <c r="J943" s="39"/>
    </row>
    <row r="944" spans="4:10" ht="12.75" customHeight="1" x14ac:dyDescent="0.3">
      <c r="D944" s="2"/>
      <c r="E944" s="36"/>
      <c r="F944" s="37"/>
      <c r="G944" s="2"/>
      <c r="H944" s="2"/>
      <c r="I944" s="38"/>
      <c r="J944" s="39"/>
    </row>
    <row r="945" spans="4:10" ht="12.75" customHeight="1" x14ac:dyDescent="0.3">
      <c r="D945" s="2"/>
      <c r="E945" s="36"/>
      <c r="F945" s="37"/>
      <c r="G945" s="2"/>
      <c r="H945" s="2"/>
      <c r="I945" s="38"/>
      <c r="J945" s="39"/>
    </row>
    <row r="946" spans="4:10" ht="12.75" customHeight="1" x14ac:dyDescent="0.3">
      <c r="D946" s="2"/>
      <c r="E946" s="36"/>
      <c r="F946" s="37"/>
      <c r="G946" s="2"/>
      <c r="H946" s="2"/>
      <c r="I946" s="38"/>
      <c r="J946" s="39"/>
    </row>
    <row r="947" spans="4:10" ht="12.75" customHeight="1" x14ac:dyDescent="0.3">
      <c r="D947" s="2"/>
      <c r="E947" s="36"/>
      <c r="F947" s="37"/>
      <c r="G947" s="2"/>
      <c r="H947" s="2"/>
      <c r="I947" s="38"/>
      <c r="J947" s="39"/>
    </row>
    <row r="948" spans="4:10" ht="12.75" customHeight="1" x14ac:dyDescent="0.3">
      <c r="D948" s="2"/>
      <c r="E948" s="36"/>
      <c r="F948" s="37"/>
      <c r="G948" s="2"/>
      <c r="H948" s="2"/>
      <c r="I948" s="38"/>
      <c r="J948" s="39"/>
    </row>
    <row r="949" spans="4:10" ht="12.75" customHeight="1" x14ac:dyDescent="0.3">
      <c r="D949" s="2"/>
      <c r="E949" s="36"/>
      <c r="F949" s="37"/>
      <c r="G949" s="2"/>
      <c r="H949" s="2"/>
      <c r="I949" s="38"/>
      <c r="J949" s="39"/>
    </row>
    <row r="950" spans="4:10" ht="12.75" customHeight="1" x14ac:dyDescent="0.3">
      <c r="D950" s="2"/>
      <c r="E950" s="36"/>
      <c r="F950" s="37"/>
      <c r="G950" s="2"/>
      <c r="H950" s="2"/>
      <c r="I950" s="38"/>
      <c r="J950" s="39"/>
    </row>
    <row r="951" spans="4:10" ht="12.75" customHeight="1" x14ac:dyDescent="0.3">
      <c r="D951" s="2"/>
      <c r="E951" s="36"/>
      <c r="F951" s="37"/>
      <c r="G951" s="2"/>
      <c r="H951" s="2"/>
      <c r="I951" s="38"/>
      <c r="J951" s="39"/>
    </row>
    <row r="952" spans="4:10" ht="12.75" customHeight="1" x14ac:dyDescent="0.3">
      <c r="D952" s="2"/>
      <c r="E952" s="36"/>
      <c r="F952" s="37"/>
      <c r="G952" s="2"/>
      <c r="H952" s="2"/>
      <c r="I952" s="38"/>
      <c r="J952" s="39"/>
    </row>
    <row r="953" spans="4:10" ht="12.75" customHeight="1" x14ac:dyDescent="0.3">
      <c r="D953" s="2"/>
      <c r="E953" s="36"/>
      <c r="F953" s="37"/>
      <c r="G953" s="2"/>
      <c r="H953" s="2"/>
      <c r="I953" s="38"/>
      <c r="J953" s="39"/>
    </row>
    <row r="954" spans="4:10" ht="12.75" customHeight="1" x14ac:dyDescent="0.3">
      <c r="D954" s="2"/>
      <c r="E954" s="36"/>
      <c r="F954" s="37"/>
      <c r="G954" s="2"/>
      <c r="H954" s="2"/>
      <c r="I954" s="38"/>
      <c r="J954" s="39"/>
    </row>
    <row r="955" spans="4:10" ht="12.75" customHeight="1" x14ac:dyDescent="0.3">
      <c r="D955" s="2"/>
      <c r="E955" s="36"/>
      <c r="F955" s="37"/>
      <c r="G955" s="2"/>
      <c r="H955" s="2"/>
      <c r="I955" s="38"/>
      <c r="J955" s="39"/>
    </row>
    <row r="956" spans="4:10" ht="12.75" customHeight="1" x14ac:dyDescent="0.3">
      <c r="D956" s="2"/>
      <c r="E956" s="36"/>
      <c r="F956" s="37"/>
      <c r="G956" s="2"/>
      <c r="H956" s="2"/>
      <c r="I956" s="38"/>
      <c r="J956" s="39"/>
    </row>
    <row r="957" spans="4:10" ht="12.75" customHeight="1" x14ac:dyDescent="0.3">
      <c r="D957" s="2"/>
      <c r="E957" s="36"/>
      <c r="F957" s="37"/>
      <c r="G957" s="2"/>
      <c r="H957" s="2"/>
      <c r="I957" s="38"/>
      <c r="J957" s="39"/>
    </row>
    <row r="958" spans="4:10" ht="12.75" customHeight="1" x14ac:dyDescent="0.3">
      <c r="D958" s="2"/>
      <c r="E958" s="36"/>
      <c r="F958" s="37"/>
      <c r="G958" s="2"/>
      <c r="H958" s="2"/>
      <c r="I958" s="38"/>
      <c r="J958" s="39"/>
    </row>
    <row r="959" spans="4:10" ht="12.75" customHeight="1" x14ac:dyDescent="0.3">
      <c r="D959" s="2"/>
      <c r="E959" s="36"/>
      <c r="F959" s="37"/>
      <c r="G959" s="2"/>
      <c r="H959" s="2"/>
      <c r="I959" s="38"/>
      <c r="J959" s="39"/>
    </row>
    <row r="960" spans="4:10" ht="12.75" customHeight="1" x14ac:dyDescent="0.3">
      <c r="D960" s="2"/>
      <c r="E960" s="36"/>
      <c r="F960" s="37"/>
      <c r="G960" s="2"/>
      <c r="H960" s="2"/>
      <c r="I960" s="38"/>
      <c r="J960" s="39"/>
    </row>
    <row r="961" spans="4:10" ht="12.75" customHeight="1" x14ac:dyDescent="0.3">
      <c r="D961" s="2"/>
      <c r="E961" s="36"/>
      <c r="F961" s="37"/>
      <c r="G961" s="2"/>
      <c r="H961" s="2"/>
      <c r="I961" s="38"/>
      <c r="J961" s="39"/>
    </row>
    <row r="962" spans="4:10" ht="12.75" customHeight="1" x14ac:dyDescent="0.3">
      <c r="D962" s="2"/>
      <c r="E962" s="36"/>
      <c r="F962" s="37"/>
      <c r="G962" s="2"/>
      <c r="H962" s="2"/>
      <c r="I962" s="38"/>
      <c r="J962" s="39"/>
    </row>
    <row r="963" spans="4:10" ht="12.75" customHeight="1" x14ac:dyDescent="0.3">
      <c r="D963" s="2"/>
      <c r="E963" s="36"/>
      <c r="F963" s="37"/>
      <c r="G963" s="2"/>
      <c r="H963" s="2"/>
      <c r="I963" s="38"/>
      <c r="J963" s="39"/>
    </row>
    <row r="964" spans="4:10" ht="12.75" customHeight="1" x14ac:dyDescent="0.3">
      <c r="D964" s="2"/>
      <c r="E964" s="36"/>
      <c r="F964" s="37"/>
      <c r="G964" s="2"/>
      <c r="H964" s="2"/>
      <c r="I964" s="38"/>
      <c r="J964" s="39"/>
    </row>
    <row r="965" spans="4:10" ht="12.75" customHeight="1" x14ac:dyDescent="0.3">
      <c r="D965" s="2"/>
      <c r="E965" s="36"/>
      <c r="F965" s="37"/>
      <c r="G965" s="2"/>
      <c r="H965" s="2"/>
      <c r="I965" s="38"/>
      <c r="J965" s="39"/>
    </row>
    <row r="966" spans="4:10" ht="12.75" customHeight="1" x14ac:dyDescent="0.3">
      <c r="D966" s="2"/>
      <c r="E966" s="36"/>
      <c r="F966" s="37"/>
      <c r="G966" s="2"/>
      <c r="H966" s="2"/>
      <c r="I966" s="38"/>
      <c r="J966" s="39"/>
    </row>
    <row r="967" spans="4:10" ht="12.75" customHeight="1" x14ac:dyDescent="0.3">
      <c r="D967" s="2"/>
      <c r="E967" s="36"/>
      <c r="F967" s="37"/>
      <c r="G967" s="2"/>
      <c r="H967" s="2"/>
      <c r="I967" s="38"/>
      <c r="J967" s="39"/>
    </row>
    <row r="968" spans="4:10" ht="12.75" customHeight="1" x14ac:dyDescent="0.3">
      <c r="D968" s="2"/>
      <c r="E968" s="36"/>
      <c r="F968" s="37"/>
      <c r="G968" s="2"/>
      <c r="H968" s="2"/>
      <c r="I968" s="38"/>
      <c r="J968" s="39"/>
    </row>
    <row r="969" spans="4:10" ht="12.75" customHeight="1" x14ac:dyDescent="0.3">
      <c r="D969" s="2"/>
      <c r="E969" s="36"/>
      <c r="F969" s="37"/>
      <c r="G969" s="2"/>
      <c r="H969" s="2"/>
      <c r="I969" s="38"/>
      <c r="J969" s="39"/>
    </row>
    <row r="970" spans="4:10" ht="12.75" customHeight="1" x14ac:dyDescent="0.3">
      <c r="D970" s="2"/>
      <c r="E970" s="36"/>
      <c r="F970" s="37"/>
      <c r="G970" s="2"/>
      <c r="H970" s="2"/>
      <c r="I970" s="38"/>
      <c r="J970" s="39"/>
    </row>
    <row r="971" spans="4:10" ht="12.75" customHeight="1" x14ac:dyDescent="0.3">
      <c r="D971" s="2"/>
      <c r="E971" s="36"/>
      <c r="F971" s="37"/>
      <c r="G971" s="2"/>
      <c r="H971" s="2"/>
      <c r="I971" s="38"/>
      <c r="J971" s="39"/>
    </row>
    <row r="972" spans="4:10" ht="12.75" customHeight="1" x14ac:dyDescent="0.3">
      <c r="D972" s="2"/>
      <c r="E972" s="36"/>
      <c r="F972" s="37"/>
      <c r="G972" s="2"/>
      <c r="H972" s="2"/>
      <c r="I972" s="38"/>
      <c r="J972" s="39"/>
    </row>
    <row r="973" spans="4:10" ht="12.75" customHeight="1" x14ac:dyDescent="0.3">
      <c r="D973" s="2"/>
      <c r="E973" s="36"/>
      <c r="F973" s="37"/>
      <c r="G973" s="2"/>
      <c r="H973" s="2"/>
      <c r="I973" s="38"/>
      <c r="J973" s="39"/>
    </row>
    <row r="974" spans="4:10" ht="12.75" customHeight="1" x14ac:dyDescent="0.3">
      <c r="D974" s="2"/>
      <c r="E974" s="36"/>
      <c r="F974" s="37"/>
      <c r="G974" s="2"/>
      <c r="H974" s="2"/>
      <c r="I974" s="38"/>
      <c r="J974" s="39"/>
    </row>
    <row r="975" spans="4:10" ht="12.75" customHeight="1" x14ac:dyDescent="0.3">
      <c r="D975" s="2"/>
      <c r="E975" s="36"/>
      <c r="F975" s="37"/>
      <c r="G975" s="2"/>
      <c r="H975" s="2"/>
      <c r="I975" s="38"/>
      <c r="J975" s="39"/>
    </row>
    <row r="976" spans="4:10" ht="12.75" customHeight="1" x14ac:dyDescent="0.3">
      <c r="D976" s="2"/>
      <c r="E976" s="36"/>
      <c r="F976" s="37"/>
      <c r="G976" s="2"/>
      <c r="H976" s="2"/>
      <c r="I976" s="38"/>
      <c r="J976" s="39"/>
    </row>
    <row r="977" spans="4:10" ht="12.75" customHeight="1" x14ac:dyDescent="0.3">
      <c r="D977" s="2"/>
      <c r="E977" s="36"/>
      <c r="F977" s="37"/>
      <c r="G977" s="2"/>
      <c r="H977" s="2"/>
      <c r="I977" s="38"/>
      <c r="J977" s="39"/>
    </row>
    <row r="978" spans="4:10" ht="12.75" customHeight="1" x14ac:dyDescent="0.3">
      <c r="D978" s="2"/>
      <c r="E978" s="36"/>
      <c r="F978" s="37"/>
      <c r="G978" s="2"/>
      <c r="H978" s="2"/>
      <c r="I978" s="38"/>
      <c r="J978" s="39"/>
    </row>
    <row r="979" spans="4:10" ht="12.75" customHeight="1" x14ac:dyDescent="0.3">
      <c r="D979" s="2"/>
      <c r="E979" s="36"/>
      <c r="F979" s="37"/>
      <c r="G979" s="2"/>
      <c r="H979" s="2"/>
      <c r="I979" s="38"/>
      <c r="J979" s="39"/>
    </row>
    <row r="980" spans="4:10" ht="12.75" customHeight="1" x14ac:dyDescent="0.3">
      <c r="D980" s="2"/>
      <c r="E980" s="36"/>
      <c r="F980" s="37"/>
      <c r="G980" s="2"/>
      <c r="H980" s="2"/>
      <c r="I980" s="38"/>
      <c r="J980" s="39"/>
    </row>
    <row r="981" spans="4:10" ht="12.75" customHeight="1" x14ac:dyDescent="0.3">
      <c r="D981" s="2"/>
      <c r="E981" s="36"/>
      <c r="F981" s="37"/>
      <c r="G981" s="2"/>
      <c r="H981" s="2"/>
      <c r="I981" s="38"/>
      <c r="J981" s="39"/>
    </row>
    <row r="982" spans="4:10" ht="12.75" customHeight="1" x14ac:dyDescent="0.3">
      <c r="D982" s="2"/>
      <c r="E982" s="36"/>
      <c r="F982" s="37"/>
      <c r="G982" s="2"/>
      <c r="H982" s="2"/>
      <c r="I982" s="38"/>
      <c r="J982" s="39"/>
    </row>
    <row r="983" spans="4:10" ht="12.75" customHeight="1" x14ac:dyDescent="0.3">
      <c r="D983" s="2"/>
      <c r="E983" s="36"/>
      <c r="F983" s="37"/>
      <c r="G983" s="2"/>
      <c r="H983" s="2"/>
      <c r="I983" s="38"/>
      <c r="J983" s="39"/>
    </row>
    <row r="984" spans="4:10" ht="12.75" customHeight="1" x14ac:dyDescent="0.3">
      <c r="D984" s="2"/>
      <c r="E984" s="36"/>
      <c r="F984" s="37"/>
      <c r="G984" s="2"/>
      <c r="H984" s="2"/>
      <c r="I984" s="38"/>
      <c r="J984" s="39"/>
    </row>
    <row r="985" spans="4:10" ht="12.75" customHeight="1" x14ac:dyDescent="0.3">
      <c r="D985" s="2"/>
      <c r="E985" s="36"/>
      <c r="F985" s="37"/>
      <c r="G985" s="2"/>
      <c r="H985" s="2"/>
      <c r="I985" s="38"/>
      <c r="J985" s="39"/>
    </row>
    <row r="986" spans="4:10" ht="12.75" customHeight="1" x14ac:dyDescent="0.3">
      <c r="D986" s="2"/>
      <c r="E986" s="36"/>
      <c r="F986" s="37"/>
      <c r="G986" s="2"/>
      <c r="H986" s="2"/>
      <c r="I986" s="38"/>
      <c r="J986" s="39"/>
    </row>
    <row r="987" spans="4:10" ht="12.75" customHeight="1" x14ac:dyDescent="0.3">
      <c r="D987" s="2"/>
      <c r="E987" s="36"/>
      <c r="F987" s="37"/>
      <c r="G987" s="2"/>
      <c r="H987" s="2"/>
      <c r="I987" s="38"/>
      <c r="J987" s="39"/>
    </row>
    <row r="988" spans="4:10" ht="12.75" customHeight="1" x14ac:dyDescent="0.3">
      <c r="D988" s="2"/>
      <c r="E988" s="36"/>
      <c r="F988" s="37"/>
      <c r="G988" s="2"/>
      <c r="H988" s="2"/>
      <c r="I988" s="38"/>
      <c r="J988" s="39"/>
    </row>
    <row r="989" spans="4:10" ht="12.75" customHeight="1" x14ac:dyDescent="0.3">
      <c r="D989" s="2"/>
      <c r="E989" s="36"/>
      <c r="F989" s="37"/>
      <c r="G989" s="2"/>
      <c r="H989" s="2"/>
      <c r="I989" s="38"/>
      <c r="J989" s="39"/>
    </row>
    <row r="990" spans="4:10" ht="12.75" customHeight="1" x14ac:dyDescent="0.3">
      <c r="D990" s="2"/>
      <c r="E990" s="36"/>
      <c r="F990" s="37"/>
      <c r="G990" s="2"/>
      <c r="H990" s="2"/>
      <c r="I990" s="38"/>
      <c r="J990" s="39"/>
    </row>
    <row r="991" spans="4:10" ht="12.75" customHeight="1" x14ac:dyDescent="0.3">
      <c r="D991" s="2"/>
      <c r="E991" s="36"/>
      <c r="F991" s="37"/>
      <c r="G991" s="2"/>
      <c r="H991" s="2"/>
      <c r="I991" s="38"/>
      <c r="J991" s="39"/>
    </row>
    <row r="992" spans="4:10" ht="12.75" customHeight="1" x14ac:dyDescent="0.3">
      <c r="D992" s="2"/>
      <c r="E992" s="36"/>
      <c r="F992" s="37"/>
      <c r="G992" s="2"/>
      <c r="H992" s="2"/>
      <c r="I992" s="38"/>
      <c r="J992" s="39"/>
    </row>
    <row r="993" spans="4:10" ht="12.75" customHeight="1" x14ac:dyDescent="0.3">
      <c r="D993" s="2"/>
      <c r="E993" s="36"/>
      <c r="F993" s="37"/>
      <c r="G993" s="2"/>
      <c r="H993" s="2"/>
      <c r="I993" s="38"/>
      <c r="J993" s="39"/>
    </row>
    <row r="994" spans="4:10" ht="12.75" customHeight="1" x14ac:dyDescent="0.3">
      <c r="D994" s="2"/>
      <c r="E994" s="36"/>
      <c r="F994" s="37"/>
      <c r="G994" s="2"/>
      <c r="H994" s="2"/>
      <c r="I994" s="38"/>
      <c r="J994" s="39"/>
    </row>
    <row r="995" spans="4:10" ht="12.75" customHeight="1" x14ac:dyDescent="0.3">
      <c r="D995" s="2"/>
      <c r="E995" s="36"/>
      <c r="F995" s="37"/>
      <c r="G995" s="2"/>
      <c r="H995" s="2"/>
      <c r="I995" s="38"/>
      <c r="J995" s="39"/>
    </row>
    <row r="996" spans="4:10" ht="12.75" customHeight="1" x14ac:dyDescent="0.3">
      <c r="D996" s="2"/>
      <c r="E996" s="36"/>
      <c r="F996" s="37"/>
      <c r="G996" s="2"/>
      <c r="H996" s="2"/>
      <c r="I996" s="38"/>
      <c r="J996" s="39"/>
    </row>
    <row r="997" spans="4:10" ht="12.75" customHeight="1" x14ac:dyDescent="0.3">
      <c r="D997" s="2"/>
      <c r="E997" s="36"/>
      <c r="F997" s="37"/>
      <c r="G997" s="2"/>
      <c r="H997" s="2"/>
      <c r="I997" s="38"/>
      <c r="J997" s="39"/>
    </row>
    <row r="998" spans="4:10" ht="12.75" customHeight="1" x14ac:dyDescent="0.3">
      <c r="D998" s="2"/>
      <c r="E998" s="36"/>
      <c r="F998" s="37"/>
      <c r="G998" s="2"/>
      <c r="H998" s="2"/>
      <c r="I998" s="38"/>
      <c r="J998" s="39"/>
    </row>
    <row r="999" spans="4:10" ht="12.75" customHeight="1" x14ac:dyDescent="0.3">
      <c r="D999" s="2"/>
      <c r="E999" s="36"/>
      <c r="F999" s="37"/>
      <c r="G999" s="2"/>
      <c r="H999" s="2"/>
      <c r="I999" s="38"/>
      <c r="J999" s="39"/>
    </row>
    <row r="1000" spans="4:10" ht="12.75" customHeight="1" x14ac:dyDescent="0.3">
      <c r="D1000" s="2"/>
      <c r="E1000" s="36"/>
      <c r="F1000" s="37"/>
      <c r="G1000" s="2"/>
      <c r="H1000" s="2"/>
      <c r="I1000" s="38"/>
      <c r="J1000" s="39"/>
    </row>
  </sheetData>
  <conditionalFormatting sqref="E5:E27">
    <cfRule type="cellIs" dxfId="5" priority="1" operator="equal">
      <formula>"L"</formula>
    </cfRule>
    <cfRule type="cellIs" dxfId="4" priority="2" operator="equal">
      <formula>"W"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0000"/>
  </sheetPr>
  <dimension ref="A1:DJ1000"/>
  <sheetViews>
    <sheetView topLeftCell="A2" workbookViewId="0">
      <selection activeCell="A18" sqref="A18:I21"/>
    </sheetView>
  </sheetViews>
  <sheetFormatPr defaultColWidth="12.6328125" defaultRowHeight="15" customHeight="1" x14ac:dyDescent="0.25"/>
  <cols>
    <col min="1" max="1" width="7.26953125" customWidth="1"/>
    <col min="2" max="2" width="10.81640625" customWidth="1"/>
    <col min="3" max="3" width="14.1796875" customWidth="1"/>
    <col min="4" max="6" width="10.81640625" customWidth="1"/>
    <col min="7" max="8" width="10.90625" customWidth="1"/>
    <col min="9" max="10" width="12.54296875" customWidth="1"/>
    <col min="11" max="11" width="15.90625" customWidth="1"/>
    <col min="12" max="114" width="14.54296875" customWidth="1"/>
  </cols>
  <sheetData>
    <row r="1" spans="1:114" ht="15.75" customHeight="1" x14ac:dyDescent="0.55000000000000004">
      <c r="A1" s="41"/>
      <c r="B1" s="41"/>
      <c r="C1" s="42"/>
      <c r="D1" s="42"/>
      <c r="E1" s="43"/>
      <c r="F1" s="43" t="s">
        <v>28</v>
      </c>
      <c r="G1" s="44" t="s">
        <v>29</v>
      </c>
      <c r="H1" s="44" t="s">
        <v>30</v>
      </c>
      <c r="I1" s="44" t="s">
        <v>31</v>
      </c>
      <c r="J1" s="45"/>
      <c r="K1" s="46" t="s">
        <v>32</v>
      </c>
      <c r="L1" s="47">
        <f>MASANIELLO!$I$6</f>
        <v>10</v>
      </c>
      <c r="M1" s="48"/>
      <c r="N1" s="48">
        <v>0</v>
      </c>
      <c r="O1" s="48">
        <f t="shared" ref="O1:DJ1" si="0">IF(N1&lt;$L$2,N1+1)</f>
        <v>1</v>
      </c>
      <c r="P1" s="48">
        <f t="shared" si="0"/>
        <v>2</v>
      </c>
      <c r="Q1" s="48">
        <f t="shared" si="0"/>
        <v>3</v>
      </c>
      <c r="R1" s="48">
        <f t="shared" si="0"/>
        <v>4</v>
      </c>
      <c r="S1" s="48" t="b">
        <f t="shared" si="0"/>
        <v>0</v>
      </c>
      <c r="T1" s="48" t="b">
        <f t="shared" si="0"/>
        <v>0</v>
      </c>
      <c r="U1" s="48" t="b">
        <f t="shared" si="0"/>
        <v>0</v>
      </c>
      <c r="V1" s="48" t="b">
        <f t="shared" si="0"/>
        <v>0</v>
      </c>
      <c r="W1" s="48" t="b">
        <f t="shared" si="0"/>
        <v>0</v>
      </c>
      <c r="X1" s="48" t="b">
        <f t="shared" si="0"/>
        <v>0</v>
      </c>
      <c r="Y1" s="48" t="b">
        <f t="shared" si="0"/>
        <v>0</v>
      </c>
      <c r="Z1" s="48" t="b">
        <f t="shared" si="0"/>
        <v>0</v>
      </c>
      <c r="AA1" s="48" t="b">
        <f t="shared" si="0"/>
        <v>0</v>
      </c>
      <c r="AB1" s="48" t="b">
        <f t="shared" si="0"/>
        <v>0</v>
      </c>
      <c r="AC1" s="48" t="b">
        <f t="shared" si="0"/>
        <v>0</v>
      </c>
      <c r="AD1" s="48" t="b">
        <f t="shared" si="0"/>
        <v>0</v>
      </c>
      <c r="AE1" s="48" t="b">
        <f t="shared" si="0"/>
        <v>0</v>
      </c>
      <c r="AF1" s="48" t="b">
        <f t="shared" si="0"/>
        <v>0</v>
      </c>
      <c r="AG1" s="48" t="b">
        <f t="shared" si="0"/>
        <v>0</v>
      </c>
      <c r="AH1" s="48" t="b">
        <f t="shared" si="0"/>
        <v>0</v>
      </c>
      <c r="AI1" s="48" t="b">
        <f t="shared" si="0"/>
        <v>0</v>
      </c>
      <c r="AJ1" s="48" t="b">
        <f t="shared" si="0"/>
        <v>0</v>
      </c>
      <c r="AK1" s="48" t="b">
        <f t="shared" si="0"/>
        <v>0</v>
      </c>
      <c r="AL1" s="48" t="b">
        <f t="shared" si="0"/>
        <v>0</v>
      </c>
      <c r="AM1" s="48" t="b">
        <f t="shared" si="0"/>
        <v>0</v>
      </c>
      <c r="AN1" s="48" t="b">
        <f t="shared" si="0"/>
        <v>0</v>
      </c>
      <c r="AO1" s="48" t="b">
        <f t="shared" si="0"/>
        <v>0</v>
      </c>
      <c r="AP1" s="48" t="b">
        <f t="shared" si="0"/>
        <v>0</v>
      </c>
      <c r="AQ1" s="48" t="b">
        <f t="shared" si="0"/>
        <v>0</v>
      </c>
      <c r="AR1" s="48" t="b">
        <f t="shared" si="0"/>
        <v>0</v>
      </c>
      <c r="AS1" s="48" t="b">
        <f t="shared" si="0"/>
        <v>0</v>
      </c>
      <c r="AT1" s="48" t="b">
        <f t="shared" si="0"/>
        <v>0</v>
      </c>
      <c r="AU1" s="48" t="b">
        <f t="shared" si="0"/>
        <v>0</v>
      </c>
      <c r="AV1" s="48" t="b">
        <f t="shared" si="0"/>
        <v>0</v>
      </c>
      <c r="AW1" s="48" t="b">
        <f t="shared" si="0"/>
        <v>0</v>
      </c>
      <c r="AX1" s="48" t="b">
        <f t="shared" si="0"/>
        <v>0</v>
      </c>
      <c r="AY1" s="48" t="b">
        <f t="shared" si="0"/>
        <v>0</v>
      </c>
      <c r="AZ1" s="48" t="b">
        <f t="shared" si="0"/>
        <v>0</v>
      </c>
      <c r="BA1" s="48" t="b">
        <f t="shared" si="0"/>
        <v>0</v>
      </c>
      <c r="BB1" s="48" t="b">
        <f t="shared" si="0"/>
        <v>0</v>
      </c>
      <c r="BC1" s="48" t="b">
        <f t="shared" si="0"/>
        <v>0</v>
      </c>
      <c r="BD1" s="48" t="b">
        <f t="shared" si="0"/>
        <v>0</v>
      </c>
      <c r="BE1" s="48" t="b">
        <f t="shared" si="0"/>
        <v>0</v>
      </c>
      <c r="BF1" s="48" t="b">
        <f t="shared" si="0"/>
        <v>0</v>
      </c>
      <c r="BG1" s="48" t="b">
        <f t="shared" si="0"/>
        <v>0</v>
      </c>
      <c r="BH1" s="48" t="b">
        <f t="shared" si="0"/>
        <v>0</v>
      </c>
      <c r="BI1" s="48" t="b">
        <f t="shared" si="0"/>
        <v>0</v>
      </c>
      <c r="BJ1" s="48" t="b">
        <f t="shared" si="0"/>
        <v>0</v>
      </c>
      <c r="BK1" s="48" t="b">
        <f t="shared" si="0"/>
        <v>0</v>
      </c>
      <c r="BL1" s="48" t="b">
        <f t="shared" si="0"/>
        <v>0</v>
      </c>
      <c r="BM1" s="48" t="b">
        <f t="shared" si="0"/>
        <v>0</v>
      </c>
      <c r="BN1" s="48" t="b">
        <f t="shared" si="0"/>
        <v>0</v>
      </c>
      <c r="BO1" s="48" t="b">
        <f t="shared" si="0"/>
        <v>0</v>
      </c>
      <c r="BP1" s="48" t="b">
        <f t="shared" si="0"/>
        <v>0</v>
      </c>
      <c r="BQ1" s="48" t="b">
        <f t="shared" si="0"/>
        <v>0</v>
      </c>
      <c r="BR1" s="48" t="b">
        <f t="shared" si="0"/>
        <v>0</v>
      </c>
      <c r="BS1" s="48" t="b">
        <f t="shared" si="0"/>
        <v>0</v>
      </c>
      <c r="BT1" s="48" t="b">
        <f t="shared" si="0"/>
        <v>0</v>
      </c>
      <c r="BU1" s="48" t="b">
        <f t="shared" si="0"/>
        <v>0</v>
      </c>
      <c r="BV1" s="48" t="b">
        <f t="shared" si="0"/>
        <v>0</v>
      </c>
      <c r="BW1" s="48" t="b">
        <f t="shared" si="0"/>
        <v>0</v>
      </c>
      <c r="BX1" s="48" t="b">
        <f t="shared" si="0"/>
        <v>0</v>
      </c>
      <c r="BY1" s="48" t="b">
        <f t="shared" si="0"/>
        <v>0</v>
      </c>
      <c r="BZ1" s="48" t="b">
        <f t="shared" si="0"/>
        <v>0</v>
      </c>
      <c r="CA1" s="48" t="b">
        <f t="shared" si="0"/>
        <v>0</v>
      </c>
      <c r="CB1" s="48" t="b">
        <f t="shared" si="0"/>
        <v>0</v>
      </c>
      <c r="CC1" s="48" t="b">
        <f t="shared" si="0"/>
        <v>0</v>
      </c>
      <c r="CD1" s="48" t="b">
        <f t="shared" si="0"/>
        <v>0</v>
      </c>
      <c r="CE1" s="48" t="b">
        <f t="shared" si="0"/>
        <v>0</v>
      </c>
      <c r="CF1" s="48" t="b">
        <f t="shared" si="0"/>
        <v>0</v>
      </c>
      <c r="CG1" s="48" t="b">
        <f t="shared" si="0"/>
        <v>0</v>
      </c>
      <c r="CH1" s="48" t="b">
        <f t="shared" si="0"/>
        <v>0</v>
      </c>
      <c r="CI1" s="48" t="b">
        <f t="shared" si="0"/>
        <v>0</v>
      </c>
      <c r="CJ1" s="48" t="b">
        <f t="shared" si="0"/>
        <v>0</v>
      </c>
      <c r="CK1" s="48" t="b">
        <f t="shared" si="0"/>
        <v>0</v>
      </c>
      <c r="CL1" s="48" t="b">
        <f t="shared" si="0"/>
        <v>0</v>
      </c>
      <c r="CM1" s="48" t="b">
        <f t="shared" si="0"/>
        <v>0</v>
      </c>
      <c r="CN1" s="48" t="b">
        <f t="shared" si="0"/>
        <v>0</v>
      </c>
      <c r="CO1" s="48" t="b">
        <f t="shared" si="0"/>
        <v>0</v>
      </c>
      <c r="CP1" s="48" t="b">
        <f t="shared" si="0"/>
        <v>0</v>
      </c>
      <c r="CQ1" s="48" t="b">
        <f t="shared" si="0"/>
        <v>0</v>
      </c>
      <c r="CR1" s="48" t="b">
        <f t="shared" si="0"/>
        <v>0</v>
      </c>
      <c r="CS1" s="48" t="b">
        <f t="shared" si="0"/>
        <v>0</v>
      </c>
      <c r="CT1" s="48" t="b">
        <f t="shared" si="0"/>
        <v>0</v>
      </c>
      <c r="CU1" s="48" t="b">
        <f t="shared" si="0"/>
        <v>0</v>
      </c>
      <c r="CV1" s="48" t="b">
        <f t="shared" si="0"/>
        <v>0</v>
      </c>
      <c r="CW1" s="48" t="b">
        <f t="shared" si="0"/>
        <v>0</v>
      </c>
      <c r="CX1" s="48" t="b">
        <f t="shared" si="0"/>
        <v>0</v>
      </c>
      <c r="CY1" s="48" t="b">
        <f t="shared" si="0"/>
        <v>0</v>
      </c>
      <c r="CZ1" s="48" t="b">
        <f t="shared" si="0"/>
        <v>0</v>
      </c>
      <c r="DA1" s="48" t="b">
        <f t="shared" si="0"/>
        <v>0</v>
      </c>
      <c r="DB1" s="48" t="b">
        <f t="shared" si="0"/>
        <v>0</v>
      </c>
      <c r="DC1" s="48" t="b">
        <f t="shared" si="0"/>
        <v>0</v>
      </c>
      <c r="DD1" s="48" t="b">
        <f t="shared" si="0"/>
        <v>0</v>
      </c>
      <c r="DE1" s="48" t="b">
        <f t="shared" si="0"/>
        <v>0</v>
      </c>
      <c r="DF1" s="48" t="b">
        <f t="shared" si="0"/>
        <v>0</v>
      </c>
      <c r="DG1" s="48" t="b">
        <f t="shared" si="0"/>
        <v>0</v>
      </c>
      <c r="DH1" s="48" t="b">
        <f t="shared" si="0"/>
        <v>0</v>
      </c>
      <c r="DI1" s="48" t="b">
        <f t="shared" si="0"/>
        <v>0</v>
      </c>
      <c r="DJ1" s="48" t="b">
        <f t="shared" si="0"/>
        <v>0</v>
      </c>
    </row>
    <row r="2" spans="1:114" ht="15.75" customHeight="1" x14ac:dyDescent="0.3">
      <c r="A2" s="44" t="s">
        <v>33</v>
      </c>
      <c r="B2" s="41" t="s">
        <v>33</v>
      </c>
      <c r="C2" s="43" t="s">
        <v>34</v>
      </c>
      <c r="D2" s="43" t="s">
        <v>35</v>
      </c>
      <c r="E2" s="43" t="s">
        <v>36</v>
      </c>
      <c r="F2" s="42">
        <f>MASANIELLO!$I$5</f>
        <v>50</v>
      </c>
      <c r="G2" s="42">
        <f>MASANIELLO!$I$5</f>
        <v>50</v>
      </c>
      <c r="H2" s="41">
        <v>0</v>
      </c>
      <c r="I2" s="41">
        <v>0</v>
      </c>
      <c r="J2" s="41"/>
      <c r="K2" s="46" t="s">
        <v>37</v>
      </c>
      <c r="L2" s="47">
        <f>MASANIELLO!$I$7</f>
        <v>4</v>
      </c>
      <c r="M2" s="48">
        <v>0</v>
      </c>
      <c r="N2" s="49">
        <f t="shared" ref="N2:DJ2" si="1">IF(N$1&gt;$L$2,   "",   IF(N$1=$L$2,  1,  IF($L$2-N$1=$L$1-$M2, $L$3^($L$1-$M2), ($L$3*N3*O3/(N3+($L$3-1)*O3) ))))</f>
        <v>1.4271425097912958</v>
      </c>
      <c r="O2" s="49">
        <f t="shared" si="1"/>
        <v>1.1331904002215853</v>
      </c>
      <c r="P2" s="49">
        <f t="shared" si="1"/>
        <v>1.0297877694305231</v>
      </c>
      <c r="Q2" s="49">
        <f t="shared" si="1"/>
        <v>1.0033388953807207</v>
      </c>
      <c r="R2" s="49">
        <f t="shared" si="1"/>
        <v>1</v>
      </c>
      <c r="S2" s="49" t="str">
        <f t="shared" si="1"/>
        <v/>
      </c>
      <c r="T2" s="49" t="str">
        <f t="shared" si="1"/>
        <v/>
      </c>
      <c r="U2" s="49" t="str">
        <f t="shared" si="1"/>
        <v/>
      </c>
      <c r="V2" s="49" t="str">
        <f t="shared" si="1"/>
        <v/>
      </c>
      <c r="W2" s="49" t="str">
        <f t="shared" si="1"/>
        <v/>
      </c>
      <c r="X2" s="49" t="str">
        <f t="shared" si="1"/>
        <v/>
      </c>
      <c r="Y2" s="49" t="str">
        <f t="shared" si="1"/>
        <v/>
      </c>
      <c r="Z2" s="49" t="str">
        <f t="shared" si="1"/>
        <v/>
      </c>
      <c r="AA2" s="49" t="str">
        <f t="shared" si="1"/>
        <v/>
      </c>
      <c r="AB2" s="49" t="str">
        <f t="shared" si="1"/>
        <v/>
      </c>
      <c r="AC2" s="49" t="str">
        <f t="shared" si="1"/>
        <v/>
      </c>
      <c r="AD2" s="49" t="str">
        <f t="shared" si="1"/>
        <v/>
      </c>
      <c r="AE2" s="49" t="str">
        <f t="shared" si="1"/>
        <v/>
      </c>
      <c r="AF2" s="49" t="str">
        <f t="shared" si="1"/>
        <v/>
      </c>
      <c r="AG2" s="49" t="str">
        <f t="shared" si="1"/>
        <v/>
      </c>
      <c r="AH2" s="49" t="str">
        <f t="shared" si="1"/>
        <v/>
      </c>
      <c r="AI2" s="49" t="str">
        <f t="shared" si="1"/>
        <v/>
      </c>
      <c r="AJ2" s="49" t="str">
        <f t="shared" si="1"/>
        <v/>
      </c>
      <c r="AK2" s="49" t="str">
        <f t="shared" si="1"/>
        <v/>
      </c>
      <c r="AL2" s="49" t="str">
        <f t="shared" si="1"/>
        <v/>
      </c>
      <c r="AM2" s="49" t="str">
        <f t="shared" si="1"/>
        <v/>
      </c>
      <c r="AN2" s="49" t="str">
        <f t="shared" si="1"/>
        <v/>
      </c>
      <c r="AO2" s="49" t="str">
        <f t="shared" si="1"/>
        <v/>
      </c>
      <c r="AP2" s="49" t="str">
        <f t="shared" si="1"/>
        <v/>
      </c>
      <c r="AQ2" s="49" t="str">
        <f t="shared" si="1"/>
        <v/>
      </c>
      <c r="AR2" s="49" t="str">
        <f t="shared" si="1"/>
        <v/>
      </c>
      <c r="AS2" s="49" t="str">
        <f t="shared" si="1"/>
        <v/>
      </c>
      <c r="AT2" s="49" t="str">
        <f t="shared" si="1"/>
        <v/>
      </c>
      <c r="AU2" s="49" t="str">
        <f t="shared" si="1"/>
        <v/>
      </c>
      <c r="AV2" s="49" t="str">
        <f t="shared" si="1"/>
        <v/>
      </c>
      <c r="AW2" s="49" t="str">
        <f t="shared" si="1"/>
        <v/>
      </c>
      <c r="AX2" s="49" t="str">
        <f t="shared" si="1"/>
        <v/>
      </c>
      <c r="AY2" s="49" t="str">
        <f t="shared" si="1"/>
        <v/>
      </c>
      <c r="AZ2" s="49" t="str">
        <f t="shared" si="1"/>
        <v/>
      </c>
      <c r="BA2" s="49" t="str">
        <f t="shared" si="1"/>
        <v/>
      </c>
      <c r="BB2" s="49" t="str">
        <f t="shared" si="1"/>
        <v/>
      </c>
      <c r="BC2" s="49" t="str">
        <f t="shared" si="1"/>
        <v/>
      </c>
      <c r="BD2" s="49" t="str">
        <f t="shared" si="1"/>
        <v/>
      </c>
      <c r="BE2" s="49" t="str">
        <f t="shared" si="1"/>
        <v/>
      </c>
      <c r="BF2" s="49" t="str">
        <f t="shared" si="1"/>
        <v/>
      </c>
      <c r="BG2" s="49" t="str">
        <f t="shared" si="1"/>
        <v/>
      </c>
      <c r="BH2" s="49" t="str">
        <f t="shared" si="1"/>
        <v/>
      </c>
      <c r="BI2" s="49" t="str">
        <f t="shared" si="1"/>
        <v/>
      </c>
      <c r="BJ2" s="49" t="str">
        <f t="shared" si="1"/>
        <v/>
      </c>
      <c r="BK2" s="49" t="str">
        <f t="shared" si="1"/>
        <v/>
      </c>
      <c r="BL2" s="49" t="str">
        <f t="shared" si="1"/>
        <v/>
      </c>
      <c r="BM2" s="49" t="str">
        <f t="shared" si="1"/>
        <v/>
      </c>
      <c r="BN2" s="49" t="str">
        <f t="shared" si="1"/>
        <v/>
      </c>
      <c r="BO2" s="49" t="str">
        <f t="shared" si="1"/>
        <v/>
      </c>
      <c r="BP2" s="49" t="str">
        <f t="shared" si="1"/>
        <v/>
      </c>
      <c r="BQ2" s="49" t="str">
        <f t="shared" si="1"/>
        <v/>
      </c>
      <c r="BR2" s="49" t="str">
        <f t="shared" si="1"/>
        <v/>
      </c>
      <c r="BS2" s="49" t="str">
        <f t="shared" si="1"/>
        <v/>
      </c>
      <c r="BT2" s="49" t="str">
        <f t="shared" si="1"/>
        <v/>
      </c>
      <c r="BU2" s="49" t="str">
        <f t="shared" si="1"/>
        <v/>
      </c>
      <c r="BV2" s="49" t="str">
        <f t="shared" si="1"/>
        <v/>
      </c>
      <c r="BW2" s="49" t="str">
        <f t="shared" si="1"/>
        <v/>
      </c>
      <c r="BX2" s="49" t="str">
        <f t="shared" si="1"/>
        <v/>
      </c>
      <c r="BY2" s="49" t="str">
        <f t="shared" si="1"/>
        <v/>
      </c>
      <c r="BZ2" s="49" t="str">
        <f t="shared" si="1"/>
        <v/>
      </c>
      <c r="CA2" s="49" t="str">
        <f t="shared" si="1"/>
        <v/>
      </c>
      <c r="CB2" s="49" t="str">
        <f t="shared" si="1"/>
        <v/>
      </c>
      <c r="CC2" s="49" t="str">
        <f t="shared" si="1"/>
        <v/>
      </c>
      <c r="CD2" s="49" t="str">
        <f t="shared" si="1"/>
        <v/>
      </c>
      <c r="CE2" s="49" t="str">
        <f t="shared" si="1"/>
        <v/>
      </c>
      <c r="CF2" s="49" t="str">
        <f t="shared" si="1"/>
        <v/>
      </c>
      <c r="CG2" s="49" t="str">
        <f t="shared" si="1"/>
        <v/>
      </c>
      <c r="CH2" s="49" t="str">
        <f t="shared" si="1"/>
        <v/>
      </c>
      <c r="CI2" s="49" t="str">
        <f t="shared" si="1"/>
        <v/>
      </c>
      <c r="CJ2" s="49" t="str">
        <f t="shared" si="1"/>
        <v/>
      </c>
      <c r="CK2" s="49" t="str">
        <f t="shared" si="1"/>
        <v/>
      </c>
      <c r="CL2" s="49" t="str">
        <f t="shared" si="1"/>
        <v/>
      </c>
      <c r="CM2" s="49" t="str">
        <f t="shared" si="1"/>
        <v/>
      </c>
      <c r="CN2" s="49" t="str">
        <f t="shared" si="1"/>
        <v/>
      </c>
      <c r="CO2" s="49" t="str">
        <f t="shared" si="1"/>
        <v/>
      </c>
      <c r="CP2" s="49" t="str">
        <f t="shared" si="1"/>
        <v/>
      </c>
      <c r="CQ2" s="49" t="str">
        <f t="shared" si="1"/>
        <v/>
      </c>
      <c r="CR2" s="49" t="str">
        <f t="shared" si="1"/>
        <v/>
      </c>
      <c r="CS2" s="49" t="str">
        <f t="shared" si="1"/>
        <v/>
      </c>
      <c r="CT2" s="49" t="str">
        <f t="shared" si="1"/>
        <v/>
      </c>
      <c r="CU2" s="49" t="str">
        <f t="shared" si="1"/>
        <v/>
      </c>
      <c r="CV2" s="49" t="str">
        <f t="shared" si="1"/>
        <v/>
      </c>
      <c r="CW2" s="49" t="str">
        <f t="shared" si="1"/>
        <v/>
      </c>
      <c r="CX2" s="49" t="str">
        <f t="shared" si="1"/>
        <v/>
      </c>
      <c r="CY2" s="49" t="str">
        <f t="shared" si="1"/>
        <v/>
      </c>
      <c r="CZ2" s="49" t="str">
        <f t="shared" si="1"/>
        <v/>
      </c>
      <c r="DA2" s="49" t="str">
        <f t="shared" si="1"/>
        <v/>
      </c>
      <c r="DB2" s="49" t="str">
        <f t="shared" si="1"/>
        <v/>
      </c>
      <c r="DC2" s="49" t="str">
        <f t="shared" si="1"/>
        <v/>
      </c>
      <c r="DD2" s="49" t="str">
        <f t="shared" si="1"/>
        <v/>
      </c>
      <c r="DE2" s="49" t="str">
        <f t="shared" si="1"/>
        <v/>
      </c>
      <c r="DF2" s="49" t="str">
        <f t="shared" si="1"/>
        <v/>
      </c>
      <c r="DG2" s="49" t="str">
        <f t="shared" si="1"/>
        <v/>
      </c>
      <c r="DH2" s="49" t="str">
        <f t="shared" si="1"/>
        <v/>
      </c>
      <c r="DI2" s="49" t="str">
        <f t="shared" si="1"/>
        <v/>
      </c>
      <c r="DJ2" s="49" t="str">
        <f t="shared" si="1"/>
        <v/>
      </c>
    </row>
    <row r="3" spans="1:114" ht="15.75" customHeight="1" x14ac:dyDescent="0.55000000000000004">
      <c r="A3" s="41" t="str">
        <f>MASANIELLO!C5</f>
        <v>L</v>
      </c>
      <c r="B3" s="41">
        <f t="shared" ref="B3:B102" si="2">IF( OR(I2=$L$2,H2=1+$L$1-$L$2), "",  IF(A3="l",0,IF(A3="w",1,""))    )</f>
        <v>0</v>
      </c>
      <c r="C3" s="42">
        <f t="shared" ref="C3:C102" si="3">IF(OR(I2&gt;=$L$2,D2=""),"",IF(ISERROR((1-$L$3*INDEX($N$2:$DJ$101,H2+I2+2,I2+2)/(INDEX($N$2:$DJ$101,H2+I2+2,I2+1)+($L$3-1)*(INDEX($N$2:$DJ$101,H2+I2+2,I2+2))))*$F2),  $F2,     (1-$L$3*INDEX($N$2:$DJ$101,H2+I2+2,I2+2)/(INDEX($N$2:$DJ$101,H2+I2+2,I2+1)+($L$3-1)*(INDEX($N$2:$DJ$101,H2+I2+2,I2+2))))*$F2     )          )</f>
        <v>6.9839060197637748</v>
      </c>
      <c r="D3" s="42">
        <f t="shared" ref="D3:D102" si="4">IF(I2&gt;=$L$2,"",IF(B3="", "", C3*($L$3-1)*B3)   )</f>
        <v>0</v>
      </c>
      <c r="E3" s="42">
        <f t="shared" ref="E3:E102" si="5">IF(B3="","",(   D3-(IF((D3+F2)&lt;=G2, D3, (G2-F2) ))   )*(100-$L$5)/100   )</f>
        <v>0</v>
      </c>
      <c r="F3" s="42">
        <f t="shared" ref="F3:F102" si="6">IF(I2&gt;=$L$2,"",IF(B3="", "",   IF(B3=0,  F2-C3,  IF( ((F2+D3)-G2)&gt;=0, F2+(G2-F2)+((D3-(G2-F2))*$L$5/100), F2+D3 )  ))   )</f>
        <v>43.016093980236228</v>
      </c>
      <c r="G3" s="50">
        <f t="shared" ref="G3:G102" si="7">IF(F3&gt;G2,  F3,  G2)</f>
        <v>50</v>
      </c>
      <c r="H3" s="41">
        <f t="shared" ref="H3:H102" si="8">IF(   $L$4=0,   IF(I2+B3=$L$2,0,IF(B3=0,H2+1,H2)),   IF(  F3&gt;=G2,  0,  IF(B3=0,H2+1,H2)  )   )</f>
        <v>1</v>
      </c>
      <c r="I3" s="41">
        <f t="shared" ref="I3:I102" si="9">IF(   $L$4=0,   IF(I2+B3=$L$2,0,IF(B3=1,I2+1,I2)),        IF(  F3&gt;=G2,  0,  IF(B3=1,I2+1,I2)  )   )</f>
        <v>0</v>
      </c>
      <c r="J3" s="45">
        <f t="shared" ref="J3:J102" si="10">IF(     B3="",     "",     IF(  ISERROR((B3+I2)/(H2+I2+1)),  0,  (B3+I2)/(H2+I2+1)  )     )</f>
        <v>0</v>
      </c>
      <c r="K3" s="46" t="s">
        <v>38</v>
      </c>
      <c r="L3" s="51">
        <f>MASANIELLO!$I$8</f>
        <v>2.2999999999999998</v>
      </c>
      <c r="M3" s="48">
        <f t="shared" ref="M3:M101" si="11">IF(M2&lt;($L$1-1),M2+1)</f>
        <v>1</v>
      </c>
      <c r="N3" s="49">
        <f t="shared" ref="N3:DJ3" si="12">IF(N$1&gt;$L$2,   "",   IF(N$1=$L$2,  1,  IF($L$2-N$1=$L$1-$M3, $L$3^($L$1-$M3), ($L$3*N4*O4/(N4+($L$3-1)*O4) ))))</f>
        <v>1.6588471636301956</v>
      </c>
      <c r="O3" s="49">
        <f t="shared" si="12"/>
        <v>1.2078239558866688</v>
      </c>
      <c r="P3" s="49">
        <f t="shared" si="12"/>
        <v>1.048930568429089</v>
      </c>
      <c r="Q3" s="49">
        <f t="shared" si="12"/>
        <v>1.0059224876479291</v>
      </c>
      <c r="R3" s="49">
        <f t="shared" si="12"/>
        <v>1</v>
      </c>
      <c r="S3" s="49" t="str">
        <f t="shared" si="12"/>
        <v/>
      </c>
      <c r="T3" s="49" t="str">
        <f t="shared" si="12"/>
        <v/>
      </c>
      <c r="U3" s="49" t="str">
        <f t="shared" si="12"/>
        <v/>
      </c>
      <c r="V3" s="49" t="str">
        <f t="shared" si="12"/>
        <v/>
      </c>
      <c r="W3" s="49" t="str">
        <f t="shared" si="12"/>
        <v/>
      </c>
      <c r="X3" s="49" t="str">
        <f t="shared" si="12"/>
        <v/>
      </c>
      <c r="Y3" s="49" t="str">
        <f t="shared" si="12"/>
        <v/>
      </c>
      <c r="Z3" s="49" t="str">
        <f t="shared" si="12"/>
        <v/>
      </c>
      <c r="AA3" s="49" t="str">
        <f t="shared" si="12"/>
        <v/>
      </c>
      <c r="AB3" s="49" t="str">
        <f t="shared" si="12"/>
        <v/>
      </c>
      <c r="AC3" s="49" t="str">
        <f t="shared" si="12"/>
        <v/>
      </c>
      <c r="AD3" s="49" t="str">
        <f t="shared" si="12"/>
        <v/>
      </c>
      <c r="AE3" s="49" t="str">
        <f t="shared" si="12"/>
        <v/>
      </c>
      <c r="AF3" s="49" t="str">
        <f t="shared" si="12"/>
        <v/>
      </c>
      <c r="AG3" s="49" t="str">
        <f t="shared" si="12"/>
        <v/>
      </c>
      <c r="AH3" s="49" t="str">
        <f t="shared" si="12"/>
        <v/>
      </c>
      <c r="AI3" s="49" t="str">
        <f t="shared" si="12"/>
        <v/>
      </c>
      <c r="AJ3" s="49" t="str">
        <f t="shared" si="12"/>
        <v/>
      </c>
      <c r="AK3" s="49" t="str">
        <f t="shared" si="12"/>
        <v/>
      </c>
      <c r="AL3" s="49" t="str">
        <f t="shared" si="12"/>
        <v/>
      </c>
      <c r="AM3" s="49" t="str">
        <f t="shared" si="12"/>
        <v/>
      </c>
      <c r="AN3" s="49" t="str">
        <f t="shared" si="12"/>
        <v/>
      </c>
      <c r="AO3" s="49" t="str">
        <f t="shared" si="12"/>
        <v/>
      </c>
      <c r="AP3" s="49" t="str">
        <f t="shared" si="12"/>
        <v/>
      </c>
      <c r="AQ3" s="49" t="str">
        <f t="shared" si="12"/>
        <v/>
      </c>
      <c r="AR3" s="49" t="str">
        <f t="shared" si="12"/>
        <v/>
      </c>
      <c r="AS3" s="49" t="str">
        <f t="shared" si="12"/>
        <v/>
      </c>
      <c r="AT3" s="49" t="str">
        <f t="shared" si="12"/>
        <v/>
      </c>
      <c r="AU3" s="49" t="str">
        <f t="shared" si="12"/>
        <v/>
      </c>
      <c r="AV3" s="49" t="str">
        <f t="shared" si="12"/>
        <v/>
      </c>
      <c r="AW3" s="49" t="str">
        <f t="shared" si="12"/>
        <v/>
      </c>
      <c r="AX3" s="49" t="str">
        <f t="shared" si="12"/>
        <v/>
      </c>
      <c r="AY3" s="49" t="str">
        <f t="shared" si="12"/>
        <v/>
      </c>
      <c r="AZ3" s="49" t="str">
        <f t="shared" si="12"/>
        <v/>
      </c>
      <c r="BA3" s="49" t="str">
        <f t="shared" si="12"/>
        <v/>
      </c>
      <c r="BB3" s="49" t="str">
        <f t="shared" si="12"/>
        <v/>
      </c>
      <c r="BC3" s="49" t="str">
        <f t="shared" si="12"/>
        <v/>
      </c>
      <c r="BD3" s="49" t="str">
        <f t="shared" si="12"/>
        <v/>
      </c>
      <c r="BE3" s="49" t="str">
        <f t="shared" si="12"/>
        <v/>
      </c>
      <c r="BF3" s="49" t="str">
        <f t="shared" si="12"/>
        <v/>
      </c>
      <c r="BG3" s="49" t="str">
        <f t="shared" si="12"/>
        <v/>
      </c>
      <c r="BH3" s="49" t="str">
        <f t="shared" si="12"/>
        <v/>
      </c>
      <c r="BI3" s="49" t="str">
        <f t="shared" si="12"/>
        <v/>
      </c>
      <c r="BJ3" s="49" t="str">
        <f t="shared" si="12"/>
        <v/>
      </c>
      <c r="BK3" s="49" t="str">
        <f t="shared" si="12"/>
        <v/>
      </c>
      <c r="BL3" s="49" t="str">
        <f t="shared" si="12"/>
        <v/>
      </c>
      <c r="BM3" s="49" t="str">
        <f t="shared" si="12"/>
        <v/>
      </c>
      <c r="BN3" s="49" t="str">
        <f t="shared" si="12"/>
        <v/>
      </c>
      <c r="BO3" s="49" t="str">
        <f t="shared" si="12"/>
        <v/>
      </c>
      <c r="BP3" s="49" t="str">
        <f t="shared" si="12"/>
        <v/>
      </c>
      <c r="BQ3" s="49" t="str">
        <f t="shared" si="12"/>
        <v/>
      </c>
      <c r="BR3" s="49" t="str">
        <f t="shared" si="12"/>
        <v/>
      </c>
      <c r="BS3" s="49" t="str">
        <f t="shared" si="12"/>
        <v/>
      </c>
      <c r="BT3" s="49" t="str">
        <f t="shared" si="12"/>
        <v/>
      </c>
      <c r="BU3" s="49" t="str">
        <f t="shared" si="12"/>
        <v/>
      </c>
      <c r="BV3" s="49" t="str">
        <f t="shared" si="12"/>
        <v/>
      </c>
      <c r="BW3" s="49" t="str">
        <f t="shared" si="12"/>
        <v/>
      </c>
      <c r="BX3" s="49" t="str">
        <f t="shared" si="12"/>
        <v/>
      </c>
      <c r="BY3" s="49" t="str">
        <f t="shared" si="12"/>
        <v/>
      </c>
      <c r="BZ3" s="49" t="str">
        <f t="shared" si="12"/>
        <v/>
      </c>
      <c r="CA3" s="49" t="str">
        <f t="shared" si="12"/>
        <v/>
      </c>
      <c r="CB3" s="49" t="str">
        <f t="shared" si="12"/>
        <v/>
      </c>
      <c r="CC3" s="49" t="str">
        <f t="shared" si="12"/>
        <v/>
      </c>
      <c r="CD3" s="49" t="str">
        <f t="shared" si="12"/>
        <v/>
      </c>
      <c r="CE3" s="49" t="str">
        <f t="shared" si="12"/>
        <v/>
      </c>
      <c r="CF3" s="49" t="str">
        <f t="shared" si="12"/>
        <v/>
      </c>
      <c r="CG3" s="49" t="str">
        <f t="shared" si="12"/>
        <v/>
      </c>
      <c r="CH3" s="49" t="str">
        <f t="shared" si="12"/>
        <v/>
      </c>
      <c r="CI3" s="49" t="str">
        <f t="shared" si="12"/>
        <v/>
      </c>
      <c r="CJ3" s="49" t="str">
        <f t="shared" si="12"/>
        <v/>
      </c>
      <c r="CK3" s="49" t="str">
        <f t="shared" si="12"/>
        <v/>
      </c>
      <c r="CL3" s="49" t="str">
        <f t="shared" si="12"/>
        <v/>
      </c>
      <c r="CM3" s="49" t="str">
        <f t="shared" si="12"/>
        <v/>
      </c>
      <c r="CN3" s="49" t="str">
        <f t="shared" si="12"/>
        <v/>
      </c>
      <c r="CO3" s="49" t="str">
        <f t="shared" si="12"/>
        <v/>
      </c>
      <c r="CP3" s="49" t="str">
        <f t="shared" si="12"/>
        <v/>
      </c>
      <c r="CQ3" s="49" t="str">
        <f t="shared" si="12"/>
        <v/>
      </c>
      <c r="CR3" s="49" t="str">
        <f t="shared" si="12"/>
        <v/>
      </c>
      <c r="CS3" s="49" t="str">
        <f t="shared" si="12"/>
        <v/>
      </c>
      <c r="CT3" s="49" t="str">
        <f t="shared" si="12"/>
        <v/>
      </c>
      <c r="CU3" s="49" t="str">
        <f t="shared" si="12"/>
        <v/>
      </c>
      <c r="CV3" s="49" t="str">
        <f t="shared" si="12"/>
        <v/>
      </c>
      <c r="CW3" s="49" t="str">
        <f t="shared" si="12"/>
        <v/>
      </c>
      <c r="CX3" s="49" t="str">
        <f t="shared" si="12"/>
        <v/>
      </c>
      <c r="CY3" s="49" t="str">
        <f t="shared" si="12"/>
        <v/>
      </c>
      <c r="CZ3" s="49" t="str">
        <f t="shared" si="12"/>
        <v/>
      </c>
      <c r="DA3" s="49" t="str">
        <f t="shared" si="12"/>
        <v/>
      </c>
      <c r="DB3" s="49" t="str">
        <f t="shared" si="12"/>
        <v/>
      </c>
      <c r="DC3" s="49" t="str">
        <f t="shared" si="12"/>
        <v/>
      </c>
      <c r="DD3" s="49" t="str">
        <f t="shared" si="12"/>
        <v/>
      </c>
      <c r="DE3" s="49" t="str">
        <f t="shared" si="12"/>
        <v/>
      </c>
      <c r="DF3" s="49" t="str">
        <f t="shared" si="12"/>
        <v/>
      </c>
      <c r="DG3" s="49" t="str">
        <f t="shared" si="12"/>
        <v/>
      </c>
      <c r="DH3" s="49" t="str">
        <f t="shared" si="12"/>
        <v/>
      </c>
      <c r="DI3" s="49" t="str">
        <f t="shared" si="12"/>
        <v/>
      </c>
      <c r="DJ3" s="49" t="str">
        <f t="shared" si="12"/>
        <v/>
      </c>
    </row>
    <row r="4" spans="1:114" ht="15.75" customHeight="1" x14ac:dyDescent="0.55000000000000004">
      <c r="A4" s="41" t="str">
        <f>MASANIELLO!C6</f>
        <v>W</v>
      </c>
      <c r="B4" s="41">
        <f t="shared" si="2"/>
        <v>1</v>
      </c>
      <c r="C4" s="42">
        <f t="shared" si="3"/>
        <v>8.2374276130547184</v>
      </c>
      <c r="D4" s="42">
        <f t="shared" si="4"/>
        <v>10.708655896971132</v>
      </c>
      <c r="E4" s="42">
        <f t="shared" si="5"/>
        <v>0</v>
      </c>
      <c r="F4" s="42">
        <f t="shared" si="6"/>
        <v>53.724749877207358</v>
      </c>
      <c r="G4" s="50">
        <f t="shared" si="7"/>
        <v>53.724749877207358</v>
      </c>
      <c r="H4" s="41">
        <f t="shared" si="8"/>
        <v>1</v>
      </c>
      <c r="I4" s="41">
        <f t="shared" si="9"/>
        <v>1</v>
      </c>
      <c r="J4" s="45">
        <f t="shared" si="10"/>
        <v>0.5</v>
      </c>
      <c r="K4" s="49" t="s">
        <v>39</v>
      </c>
      <c r="L4" s="49">
        <f>IF(MASANIELLO!I4="normale", 0,1)</f>
        <v>0</v>
      </c>
      <c r="M4" s="48">
        <f t="shared" si="11"/>
        <v>2</v>
      </c>
      <c r="N4" s="49">
        <f t="shared" ref="N4:DJ4" si="13">IF(N$1&gt;$L$2,   "",   IF(N$1=$L$2,  1,  IF($L$2-N$1=$L$1-$M4, $L$3^($L$1-$M4), ($L$3*N5*O5/(N5+($L$3-1)*O5) ))))</f>
        <v>2.0517499071471046</v>
      </c>
      <c r="O4" s="49">
        <f t="shared" si="13"/>
        <v>1.3281983751000754</v>
      </c>
      <c r="P4" s="49">
        <f t="shared" si="13"/>
        <v>1.0805185516588689</v>
      </c>
      <c r="Q4" s="49">
        <f t="shared" si="13"/>
        <v>1.0105262022253045</v>
      </c>
      <c r="R4" s="49">
        <f t="shared" si="13"/>
        <v>1</v>
      </c>
      <c r="S4" s="49" t="str">
        <f t="shared" si="13"/>
        <v/>
      </c>
      <c r="T4" s="49" t="str">
        <f t="shared" si="13"/>
        <v/>
      </c>
      <c r="U4" s="49" t="str">
        <f t="shared" si="13"/>
        <v/>
      </c>
      <c r="V4" s="49" t="str">
        <f t="shared" si="13"/>
        <v/>
      </c>
      <c r="W4" s="49" t="str">
        <f t="shared" si="13"/>
        <v/>
      </c>
      <c r="X4" s="49" t="str">
        <f t="shared" si="13"/>
        <v/>
      </c>
      <c r="Y4" s="49" t="str">
        <f t="shared" si="13"/>
        <v/>
      </c>
      <c r="Z4" s="49" t="str">
        <f t="shared" si="13"/>
        <v/>
      </c>
      <c r="AA4" s="49" t="str">
        <f t="shared" si="13"/>
        <v/>
      </c>
      <c r="AB4" s="49" t="str">
        <f t="shared" si="13"/>
        <v/>
      </c>
      <c r="AC4" s="49" t="str">
        <f t="shared" si="13"/>
        <v/>
      </c>
      <c r="AD4" s="49" t="str">
        <f t="shared" si="13"/>
        <v/>
      </c>
      <c r="AE4" s="49" t="str">
        <f t="shared" si="13"/>
        <v/>
      </c>
      <c r="AF4" s="49" t="str">
        <f t="shared" si="13"/>
        <v/>
      </c>
      <c r="AG4" s="49" t="str">
        <f t="shared" si="13"/>
        <v/>
      </c>
      <c r="AH4" s="49" t="str">
        <f t="shared" si="13"/>
        <v/>
      </c>
      <c r="AI4" s="49" t="str">
        <f t="shared" si="13"/>
        <v/>
      </c>
      <c r="AJ4" s="49" t="str">
        <f t="shared" si="13"/>
        <v/>
      </c>
      <c r="AK4" s="49" t="str">
        <f t="shared" si="13"/>
        <v/>
      </c>
      <c r="AL4" s="49" t="str">
        <f t="shared" si="13"/>
        <v/>
      </c>
      <c r="AM4" s="49" t="str">
        <f t="shared" si="13"/>
        <v/>
      </c>
      <c r="AN4" s="49" t="str">
        <f t="shared" si="13"/>
        <v/>
      </c>
      <c r="AO4" s="49" t="str">
        <f t="shared" si="13"/>
        <v/>
      </c>
      <c r="AP4" s="49" t="str">
        <f t="shared" si="13"/>
        <v/>
      </c>
      <c r="AQ4" s="49" t="str">
        <f t="shared" si="13"/>
        <v/>
      </c>
      <c r="AR4" s="49" t="str">
        <f t="shared" si="13"/>
        <v/>
      </c>
      <c r="AS4" s="49" t="str">
        <f t="shared" si="13"/>
        <v/>
      </c>
      <c r="AT4" s="49" t="str">
        <f t="shared" si="13"/>
        <v/>
      </c>
      <c r="AU4" s="49" t="str">
        <f t="shared" si="13"/>
        <v/>
      </c>
      <c r="AV4" s="49" t="str">
        <f t="shared" si="13"/>
        <v/>
      </c>
      <c r="AW4" s="49" t="str">
        <f t="shared" si="13"/>
        <v/>
      </c>
      <c r="AX4" s="49" t="str">
        <f t="shared" si="13"/>
        <v/>
      </c>
      <c r="AY4" s="49" t="str">
        <f t="shared" si="13"/>
        <v/>
      </c>
      <c r="AZ4" s="49" t="str">
        <f t="shared" si="13"/>
        <v/>
      </c>
      <c r="BA4" s="49" t="str">
        <f t="shared" si="13"/>
        <v/>
      </c>
      <c r="BB4" s="49" t="str">
        <f t="shared" si="13"/>
        <v/>
      </c>
      <c r="BC4" s="49" t="str">
        <f t="shared" si="13"/>
        <v/>
      </c>
      <c r="BD4" s="49" t="str">
        <f t="shared" si="13"/>
        <v/>
      </c>
      <c r="BE4" s="49" t="str">
        <f t="shared" si="13"/>
        <v/>
      </c>
      <c r="BF4" s="49" t="str">
        <f t="shared" si="13"/>
        <v/>
      </c>
      <c r="BG4" s="49" t="str">
        <f t="shared" si="13"/>
        <v/>
      </c>
      <c r="BH4" s="49" t="str">
        <f t="shared" si="13"/>
        <v/>
      </c>
      <c r="BI4" s="49" t="str">
        <f t="shared" si="13"/>
        <v/>
      </c>
      <c r="BJ4" s="49" t="str">
        <f t="shared" si="13"/>
        <v/>
      </c>
      <c r="BK4" s="49" t="str">
        <f t="shared" si="13"/>
        <v/>
      </c>
      <c r="BL4" s="49" t="str">
        <f t="shared" si="13"/>
        <v/>
      </c>
      <c r="BM4" s="49" t="str">
        <f t="shared" si="13"/>
        <v/>
      </c>
      <c r="BN4" s="49" t="str">
        <f t="shared" si="13"/>
        <v/>
      </c>
      <c r="BO4" s="49" t="str">
        <f t="shared" si="13"/>
        <v/>
      </c>
      <c r="BP4" s="49" t="str">
        <f t="shared" si="13"/>
        <v/>
      </c>
      <c r="BQ4" s="49" t="str">
        <f t="shared" si="13"/>
        <v/>
      </c>
      <c r="BR4" s="49" t="str">
        <f t="shared" si="13"/>
        <v/>
      </c>
      <c r="BS4" s="49" t="str">
        <f t="shared" si="13"/>
        <v/>
      </c>
      <c r="BT4" s="49" t="str">
        <f t="shared" si="13"/>
        <v/>
      </c>
      <c r="BU4" s="49" t="str">
        <f t="shared" si="13"/>
        <v/>
      </c>
      <c r="BV4" s="49" t="str">
        <f t="shared" si="13"/>
        <v/>
      </c>
      <c r="BW4" s="49" t="str">
        <f t="shared" si="13"/>
        <v/>
      </c>
      <c r="BX4" s="49" t="str">
        <f t="shared" si="13"/>
        <v/>
      </c>
      <c r="BY4" s="49" t="str">
        <f t="shared" si="13"/>
        <v/>
      </c>
      <c r="BZ4" s="49" t="str">
        <f t="shared" si="13"/>
        <v/>
      </c>
      <c r="CA4" s="49" t="str">
        <f t="shared" si="13"/>
        <v/>
      </c>
      <c r="CB4" s="49" t="str">
        <f t="shared" si="13"/>
        <v/>
      </c>
      <c r="CC4" s="49" t="str">
        <f t="shared" si="13"/>
        <v/>
      </c>
      <c r="CD4" s="49" t="str">
        <f t="shared" si="13"/>
        <v/>
      </c>
      <c r="CE4" s="49" t="str">
        <f t="shared" si="13"/>
        <v/>
      </c>
      <c r="CF4" s="49" t="str">
        <f t="shared" si="13"/>
        <v/>
      </c>
      <c r="CG4" s="49" t="str">
        <f t="shared" si="13"/>
        <v/>
      </c>
      <c r="CH4" s="49" t="str">
        <f t="shared" si="13"/>
        <v/>
      </c>
      <c r="CI4" s="49" t="str">
        <f t="shared" si="13"/>
        <v/>
      </c>
      <c r="CJ4" s="49" t="str">
        <f t="shared" si="13"/>
        <v/>
      </c>
      <c r="CK4" s="49" t="str">
        <f t="shared" si="13"/>
        <v/>
      </c>
      <c r="CL4" s="49" t="str">
        <f t="shared" si="13"/>
        <v/>
      </c>
      <c r="CM4" s="49" t="str">
        <f t="shared" si="13"/>
        <v/>
      </c>
      <c r="CN4" s="49" t="str">
        <f t="shared" si="13"/>
        <v/>
      </c>
      <c r="CO4" s="49" t="str">
        <f t="shared" si="13"/>
        <v/>
      </c>
      <c r="CP4" s="49" t="str">
        <f t="shared" si="13"/>
        <v/>
      </c>
      <c r="CQ4" s="49" t="str">
        <f t="shared" si="13"/>
        <v/>
      </c>
      <c r="CR4" s="49" t="str">
        <f t="shared" si="13"/>
        <v/>
      </c>
      <c r="CS4" s="49" t="str">
        <f t="shared" si="13"/>
        <v/>
      </c>
      <c r="CT4" s="49" t="str">
        <f t="shared" si="13"/>
        <v/>
      </c>
      <c r="CU4" s="49" t="str">
        <f t="shared" si="13"/>
        <v/>
      </c>
      <c r="CV4" s="49" t="str">
        <f t="shared" si="13"/>
        <v/>
      </c>
      <c r="CW4" s="49" t="str">
        <f t="shared" si="13"/>
        <v/>
      </c>
      <c r="CX4" s="49" t="str">
        <f t="shared" si="13"/>
        <v/>
      </c>
      <c r="CY4" s="49" t="str">
        <f t="shared" si="13"/>
        <v/>
      </c>
      <c r="CZ4" s="49" t="str">
        <f t="shared" si="13"/>
        <v/>
      </c>
      <c r="DA4" s="49" t="str">
        <f t="shared" si="13"/>
        <v/>
      </c>
      <c r="DB4" s="49" t="str">
        <f t="shared" si="13"/>
        <v/>
      </c>
      <c r="DC4" s="49" t="str">
        <f t="shared" si="13"/>
        <v/>
      </c>
      <c r="DD4" s="49" t="str">
        <f t="shared" si="13"/>
        <v/>
      </c>
      <c r="DE4" s="49" t="str">
        <f t="shared" si="13"/>
        <v/>
      </c>
      <c r="DF4" s="49" t="str">
        <f t="shared" si="13"/>
        <v/>
      </c>
      <c r="DG4" s="49" t="str">
        <f t="shared" si="13"/>
        <v/>
      </c>
      <c r="DH4" s="49" t="str">
        <f t="shared" si="13"/>
        <v/>
      </c>
      <c r="DI4" s="49" t="str">
        <f t="shared" si="13"/>
        <v/>
      </c>
      <c r="DJ4" s="49" t="str">
        <f t="shared" si="13"/>
        <v/>
      </c>
    </row>
    <row r="5" spans="1:114" ht="15.75" customHeight="1" x14ac:dyDescent="0.55000000000000004">
      <c r="A5" s="41" t="str">
        <f>MASANIELLO!C7</f>
        <v>W</v>
      </c>
      <c r="B5" s="41">
        <f t="shared" si="2"/>
        <v>1</v>
      </c>
      <c r="C5" s="42">
        <f t="shared" si="3"/>
        <v>7.1047813162596904</v>
      </c>
      <c r="D5" s="42">
        <f t="shared" si="4"/>
        <v>9.2362157111375964</v>
      </c>
      <c r="E5" s="42">
        <f t="shared" si="5"/>
        <v>0</v>
      </c>
      <c r="F5" s="42">
        <f t="shared" si="6"/>
        <v>62.960965588344955</v>
      </c>
      <c r="G5" s="50">
        <f t="shared" si="7"/>
        <v>62.960965588344955</v>
      </c>
      <c r="H5" s="41">
        <f t="shared" si="8"/>
        <v>1</v>
      </c>
      <c r="I5" s="41">
        <f t="shared" si="9"/>
        <v>2</v>
      </c>
      <c r="J5" s="45">
        <f t="shared" si="10"/>
        <v>0.66666666666666663</v>
      </c>
      <c r="K5" s="52" t="s">
        <v>40</v>
      </c>
      <c r="L5" s="53">
        <f>IF(L4=1,MASANIELLO!#REF!,100)</f>
        <v>100</v>
      </c>
      <c r="M5" s="48">
        <f t="shared" si="11"/>
        <v>3</v>
      </c>
      <c r="N5" s="49">
        <f t="shared" ref="N5:DJ5" si="14">IF(N$1&gt;$L$2,   "",   IF(N$1=$L$2,  1,  IF($L$2-N$1=$L$1-$M5, $L$3^($L$1-$M5), ($L$3*N6*O6/(N6+($L$3-1)*O6) ))))</f>
        <v>2.7797897269053342</v>
      </c>
      <c r="O5" s="49">
        <f t="shared" si="14"/>
        <v>1.5306129045599315</v>
      </c>
      <c r="P5" s="49">
        <f t="shared" si="14"/>
        <v>1.1333550053237129</v>
      </c>
      <c r="Q5" s="49">
        <f t="shared" si="14"/>
        <v>1.0187753059891413</v>
      </c>
      <c r="R5" s="49">
        <f t="shared" si="14"/>
        <v>1</v>
      </c>
      <c r="S5" s="49" t="str">
        <f t="shared" si="14"/>
        <v/>
      </c>
      <c r="T5" s="49" t="str">
        <f t="shared" si="14"/>
        <v/>
      </c>
      <c r="U5" s="49" t="str">
        <f t="shared" si="14"/>
        <v/>
      </c>
      <c r="V5" s="49" t="str">
        <f t="shared" si="14"/>
        <v/>
      </c>
      <c r="W5" s="49" t="str">
        <f t="shared" si="14"/>
        <v/>
      </c>
      <c r="X5" s="49" t="str">
        <f t="shared" si="14"/>
        <v/>
      </c>
      <c r="Y5" s="49" t="str">
        <f t="shared" si="14"/>
        <v/>
      </c>
      <c r="Z5" s="49" t="str">
        <f t="shared" si="14"/>
        <v/>
      </c>
      <c r="AA5" s="49" t="str">
        <f t="shared" si="14"/>
        <v/>
      </c>
      <c r="AB5" s="49" t="str">
        <f t="shared" si="14"/>
        <v/>
      </c>
      <c r="AC5" s="49" t="str">
        <f t="shared" si="14"/>
        <v/>
      </c>
      <c r="AD5" s="49" t="str">
        <f t="shared" si="14"/>
        <v/>
      </c>
      <c r="AE5" s="49" t="str">
        <f t="shared" si="14"/>
        <v/>
      </c>
      <c r="AF5" s="49" t="str">
        <f t="shared" si="14"/>
        <v/>
      </c>
      <c r="AG5" s="49" t="str">
        <f t="shared" si="14"/>
        <v/>
      </c>
      <c r="AH5" s="49" t="str">
        <f t="shared" si="14"/>
        <v/>
      </c>
      <c r="AI5" s="49" t="str">
        <f t="shared" si="14"/>
        <v/>
      </c>
      <c r="AJ5" s="49" t="str">
        <f t="shared" si="14"/>
        <v/>
      </c>
      <c r="AK5" s="49" t="str">
        <f t="shared" si="14"/>
        <v/>
      </c>
      <c r="AL5" s="49" t="str">
        <f t="shared" si="14"/>
        <v/>
      </c>
      <c r="AM5" s="49" t="str">
        <f t="shared" si="14"/>
        <v/>
      </c>
      <c r="AN5" s="49" t="str">
        <f t="shared" si="14"/>
        <v/>
      </c>
      <c r="AO5" s="49" t="str">
        <f t="shared" si="14"/>
        <v/>
      </c>
      <c r="AP5" s="49" t="str">
        <f t="shared" si="14"/>
        <v/>
      </c>
      <c r="AQ5" s="49" t="str">
        <f t="shared" si="14"/>
        <v/>
      </c>
      <c r="AR5" s="49" t="str">
        <f t="shared" si="14"/>
        <v/>
      </c>
      <c r="AS5" s="49" t="str">
        <f t="shared" si="14"/>
        <v/>
      </c>
      <c r="AT5" s="49" t="str">
        <f t="shared" si="14"/>
        <v/>
      </c>
      <c r="AU5" s="49" t="str">
        <f t="shared" si="14"/>
        <v/>
      </c>
      <c r="AV5" s="49" t="str">
        <f t="shared" si="14"/>
        <v/>
      </c>
      <c r="AW5" s="49" t="str">
        <f t="shared" si="14"/>
        <v/>
      </c>
      <c r="AX5" s="49" t="str">
        <f t="shared" si="14"/>
        <v/>
      </c>
      <c r="AY5" s="49" t="str">
        <f t="shared" si="14"/>
        <v/>
      </c>
      <c r="AZ5" s="49" t="str">
        <f t="shared" si="14"/>
        <v/>
      </c>
      <c r="BA5" s="49" t="str">
        <f t="shared" si="14"/>
        <v/>
      </c>
      <c r="BB5" s="49" t="str">
        <f t="shared" si="14"/>
        <v/>
      </c>
      <c r="BC5" s="49" t="str">
        <f t="shared" si="14"/>
        <v/>
      </c>
      <c r="BD5" s="49" t="str">
        <f t="shared" si="14"/>
        <v/>
      </c>
      <c r="BE5" s="49" t="str">
        <f t="shared" si="14"/>
        <v/>
      </c>
      <c r="BF5" s="49" t="str">
        <f t="shared" si="14"/>
        <v/>
      </c>
      <c r="BG5" s="49" t="str">
        <f t="shared" si="14"/>
        <v/>
      </c>
      <c r="BH5" s="49" t="str">
        <f t="shared" si="14"/>
        <v/>
      </c>
      <c r="BI5" s="49" t="str">
        <f t="shared" si="14"/>
        <v/>
      </c>
      <c r="BJ5" s="49" t="str">
        <f t="shared" si="14"/>
        <v/>
      </c>
      <c r="BK5" s="49" t="str">
        <f t="shared" si="14"/>
        <v/>
      </c>
      <c r="BL5" s="49" t="str">
        <f t="shared" si="14"/>
        <v/>
      </c>
      <c r="BM5" s="49" t="str">
        <f t="shared" si="14"/>
        <v/>
      </c>
      <c r="BN5" s="49" t="str">
        <f t="shared" si="14"/>
        <v/>
      </c>
      <c r="BO5" s="49" t="str">
        <f t="shared" si="14"/>
        <v/>
      </c>
      <c r="BP5" s="49" t="str">
        <f t="shared" si="14"/>
        <v/>
      </c>
      <c r="BQ5" s="49" t="str">
        <f t="shared" si="14"/>
        <v/>
      </c>
      <c r="BR5" s="49" t="str">
        <f t="shared" si="14"/>
        <v/>
      </c>
      <c r="BS5" s="49" t="str">
        <f t="shared" si="14"/>
        <v/>
      </c>
      <c r="BT5" s="49" t="str">
        <f t="shared" si="14"/>
        <v/>
      </c>
      <c r="BU5" s="49" t="str">
        <f t="shared" si="14"/>
        <v/>
      </c>
      <c r="BV5" s="49" t="str">
        <f t="shared" si="14"/>
        <v/>
      </c>
      <c r="BW5" s="49" t="str">
        <f t="shared" si="14"/>
        <v/>
      </c>
      <c r="BX5" s="49" t="str">
        <f t="shared" si="14"/>
        <v/>
      </c>
      <c r="BY5" s="49" t="str">
        <f t="shared" si="14"/>
        <v/>
      </c>
      <c r="BZ5" s="49" t="str">
        <f t="shared" si="14"/>
        <v/>
      </c>
      <c r="CA5" s="49" t="str">
        <f t="shared" si="14"/>
        <v/>
      </c>
      <c r="CB5" s="49" t="str">
        <f t="shared" si="14"/>
        <v/>
      </c>
      <c r="CC5" s="49" t="str">
        <f t="shared" si="14"/>
        <v/>
      </c>
      <c r="CD5" s="49" t="str">
        <f t="shared" si="14"/>
        <v/>
      </c>
      <c r="CE5" s="49" t="str">
        <f t="shared" si="14"/>
        <v/>
      </c>
      <c r="CF5" s="49" t="str">
        <f t="shared" si="14"/>
        <v/>
      </c>
      <c r="CG5" s="49" t="str">
        <f t="shared" si="14"/>
        <v/>
      </c>
      <c r="CH5" s="49" t="str">
        <f t="shared" si="14"/>
        <v/>
      </c>
      <c r="CI5" s="49" t="str">
        <f t="shared" si="14"/>
        <v/>
      </c>
      <c r="CJ5" s="49" t="str">
        <f t="shared" si="14"/>
        <v/>
      </c>
      <c r="CK5" s="49" t="str">
        <f t="shared" si="14"/>
        <v/>
      </c>
      <c r="CL5" s="49" t="str">
        <f t="shared" si="14"/>
        <v/>
      </c>
      <c r="CM5" s="49" t="str">
        <f t="shared" si="14"/>
        <v/>
      </c>
      <c r="CN5" s="49" t="str">
        <f t="shared" si="14"/>
        <v/>
      </c>
      <c r="CO5" s="49" t="str">
        <f t="shared" si="14"/>
        <v/>
      </c>
      <c r="CP5" s="49" t="str">
        <f t="shared" si="14"/>
        <v/>
      </c>
      <c r="CQ5" s="49" t="str">
        <f t="shared" si="14"/>
        <v/>
      </c>
      <c r="CR5" s="49" t="str">
        <f t="shared" si="14"/>
        <v/>
      </c>
      <c r="CS5" s="49" t="str">
        <f t="shared" si="14"/>
        <v/>
      </c>
      <c r="CT5" s="49" t="str">
        <f t="shared" si="14"/>
        <v/>
      </c>
      <c r="CU5" s="49" t="str">
        <f t="shared" si="14"/>
        <v/>
      </c>
      <c r="CV5" s="49" t="str">
        <f t="shared" si="14"/>
        <v/>
      </c>
      <c r="CW5" s="49" t="str">
        <f t="shared" si="14"/>
        <v/>
      </c>
      <c r="CX5" s="49" t="str">
        <f t="shared" si="14"/>
        <v/>
      </c>
      <c r="CY5" s="49" t="str">
        <f t="shared" si="14"/>
        <v/>
      </c>
      <c r="CZ5" s="49" t="str">
        <f t="shared" si="14"/>
        <v/>
      </c>
      <c r="DA5" s="49" t="str">
        <f t="shared" si="14"/>
        <v/>
      </c>
      <c r="DB5" s="49" t="str">
        <f t="shared" si="14"/>
        <v/>
      </c>
      <c r="DC5" s="49" t="str">
        <f t="shared" si="14"/>
        <v/>
      </c>
      <c r="DD5" s="49" t="str">
        <f t="shared" si="14"/>
        <v/>
      </c>
      <c r="DE5" s="49" t="str">
        <f t="shared" si="14"/>
        <v/>
      </c>
      <c r="DF5" s="49" t="str">
        <f t="shared" si="14"/>
        <v/>
      </c>
      <c r="DG5" s="49" t="str">
        <f t="shared" si="14"/>
        <v/>
      </c>
      <c r="DH5" s="49" t="str">
        <f t="shared" si="14"/>
        <v/>
      </c>
      <c r="DI5" s="49" t="str">
        <f t="shared" si="14"/>
        <v/>
      </c>
      <c r="DJ5" s="49" t="str">
        <f t="shared" si="14"/>
        <v/>
      </c>
    </row>
    <row r="6" spans="1:114" ht="15.75" customHeight="1" x14ac:dyDescent="0.55000000000000004">
      <c r="A6" s="41" t="str">
        <f>MASANIELLO!C8</f>
        <v>L</v>
      </c>
      <c r="B6" s="41">
        <f t="shared" si="2"/>
        <v>0</v>
      </c>
      <c r="C6" s="42">
        <f t="shared" si="3"/>
        <v>4.6688562935420892</v>
      </c>
      <c r="D6" s="42">
        <f t="shared" si="4"/>
        <v>0</v>
      </c>
      <c r="E6" s="42">
        <f t="shared" si="5"/>
        <v>0</v>
      </c>
      <c r="F6" s="42">
        <f t="shared" si="6"/>
        <v>58.292109294802863</v>
      </c>
      <c r="G6" s="50">
        <f t="shared" si="7"/>
        <v>62.960965588344955</v>
      </c>
      <c r="H6" s="41">
        <f t="shared" si="8"/>
        <v>2</v>
      </c>
      <c r="I6" s="41">
        <f t="shared" si="9"/>
        <v>2</v>
      </c>
      <c r="J6" s="45">
        <f t="shared" si="10"/>
        <v>0.5</v>
      </c>
      <c r="M6" s="48">
        <f t="shared" si="11"/>
        <v>4</v>
      </c>
      <c r="N6" s="49">
        <f t="shared" ref="N6:DJ6" si="15">IF(N$1&gt;$L$2,   "",   IF(N$1=$L$2,  1,  IF($L$2-N$1=$L$1-$M6, $L$3^($L$1-$M6), ($L$3*N7*O7/(N7+($L$3-1)*O7) ))))</f>
        <v>4.3348722986822823</v>
      </c>
      <c r="O6" s="49">
        <f t="shared" si="15"/>
        <v>1.8957086566781913</v>
      </c>
      <c r="P6" s="49">
        <f t="shared" si="15"/>
        <v>1.2241300984441605</v>
      </c>
      <c r="Q6" s="49">
        <f t="shared" si="15"/>
        <v>1.0337046296226469</v>
      </c>
      <c r="R6" s="49">
        <f t="shared" si="15"/>
        <v>1</v>
      </c>
      <c r="S6" s="49" t="str">
        <f t="shared" si="15"/>
        <v/>
      </c>
      <c r="T6" s="49" t="str">
        <f t="shared" si="15"/>
        <v/>
      </c>
      <c r="U6" s="49" t="str">
        <f t="shared" si="15"/>
        <v/>
      </c>
      <c r="V6" s="49" t="str">
        <f t="shared" si="15"/>
        <v/>
      </c>
      <c r="W6" s="49" t="str">
        <f t="shared" si="15"/>
        <v/>
      </c>
      <c r="X6" s="49" t="str">
        <f t="shared" si="15"/>
        <v/>
      </c>
      <c r="Y6" s="49" t="str">
        <f t="shared" si="15"/>
        <v/>
      </c>
      <c r="Z6" s="49" t="str">
        <f t="shared" si="15"/>
        <v/>
      </c>
      <c r="AA6" s="49" t="str">
        <f t="shared" si="15"/>
        <v/>
      </c>
      <c r="AB6" s="49" t="str">
        <f t="shared" si="15"/>
        <v/>
      </c>
      <c r="AC6" s="49" t="str">
        <f t="shared" si="15"/>
        <v/>
      </c>
      <c r="AD6" s="49" t="str">
        <f t="shared" si="15"/>
        <v/>
      </c>
      <c r="AE6" s="49" t="str">
        <f t="shared" si="15"/>
        <v/>
      </c>
      <c r="AF6" s="49" t="str">
        <f t="shared" si="15"/>
        <v/>
      </c>
      <c r="AG6" s="49" t="str">
        <f t="shared" si="15"/>
        <v/>
      </c>
      <c r="AH6" s="49" t="str">
        <f t="shared" si="15"/>
        <v/>
      </c>
      <c r="AI6" s="49" t="str">
        <f t="shared" si="15"/>
        <v/>
      </c>
      <c r="AJ6" s="49" t="str">
        <f t="shared" si="15"/>
        <v/>
      </c>
      <c r="AK6" s="49" t="str">
        <f t="shared" si="15"/>
        <v/>
      </c>
      <c r="AL6" s="49" t="str">
        <f t="shared" si="15"/>
        <v/>
      </c>
      <c r="AM6" s="49" t="str">
        <f t="shared" si="15"/>
        <v/>
      </c>
      <c r="AN6" s="49" t="str">
        <f t="shared" si="15"/>
        <v/>
      </c>
      <c r="AO6" s="49" t="str">
        <f t="shared" si="15"/>
        <v/>
      </c>
      <c r="AP6" s="49" t="str">
        <f t="shared" si="15"/>
        <v/>
      </c>
      <c r="AQ6" s="49" t="str">
        <f t="shared" si="15"/>
        <v/>
      </c>
      <c r="AR6" s="49" t="str">
        <f t="shared" si="15"/>
        <v/>
      </c>
      <c r="AS6" s="49" t="str">
        <f t="shared" si="15"/>
        <v/>
      </c>
      <c r="AT6" s="49" t="str">
        <f t="shared" si="15"/>
        <v/>
      </c>
      <c r="AU6" s="49" t="str">
        <f t="shared" si="15"/>
        <v/>
      </c>
      <c r="AV6" s="49" t="str">
        <f t="shared" si="15"/>
        <v/>
      </c>
      <c r="AW6" s="49" t="str">
        <f t="shared" si="15"/>
        <v/>
      </c>
      <c r="AX6" s="49" t="str">
        <f t="shared" si="15"/>
        <v/>
      </c>
      <c r="AY6" s="49" t="str">
        <f t="shared" si="15"/>
        <v/>
      </c>
      <c r="AZ6" s="49" t="str">
        <f t="shared" si="15"/>
        <v/>
      </c>
      <c r="BA6" s="49" t="str">
        <f t="shared" si="15"/>
        <v/>
      </c>
      <c r="BB6" s="49" t="str">
        <f t="shared" si="15"/>
        <v/>
      </c>
      <c r="BC6" s="49" t="str">
        <f t="shared" si="15"/>
        <v/>
      </c>
      <c r="BD6" s="49" t="str">
        <f t="shared" si="15"/>
        <v/>
      </c>
      <c r="BE6" s="49" t="str">
        <f t="shared" si="15"/>
        <v/>
      </c>
      <c r="BF6" s="49" t="str">
        <f t="shared" si="15"/>
        <v/>
      </c>
      <c r="BG6" s="49" t="str">
        <f t="shared" si="15"/>
        <v/>
      </c>
      <c r="BH6" s="49" t="str">
        <f t="shared" si="15"/>
        <v/>
      </c>
      <c r="BI6" s="49" t="str">
        <f t="shared" si="15"/>
        <v/>
      </c>
      <c r="BJ6" s="49" t="str">
        <f t="shared" si="15"/>
        <v/>
      </c>
      <c r="BK6" s="49" t="str">
        <f t="shared" si="15"/>
        <v/>
      </c>
      <c r="BL6" s="49" t="str">
        <f t="shared" si="15"/>
        <v/>
      </c>
      <c r="BM6" s="49" t="str">
        <f t="shared" si="15"/>
        <v/>
      </c>
      <c r="BN6" s="49" t="str">
        <f t="shared" si="15"/>
        <v/>
      </c>
      <c r="BO6" s="49" t="str">
        <f t="shared" si="15"/>
        <v/>
      </c>
      <c r="BP6" s="49" t="str">
        <f t="shared" si="15"/>
        <v/>
      </c>
      <c r="BQ6" s="49" t="str">
        <f t="shared" si="15"/>
        <v/>
      </c>
      <c r="BR6" s="49" t="str">
        <f t="shared" si="15"/>
        <v/>
      </c>
      <c r="BS6" s="49" t="str">
        <f t="shared" si="15"/>
        <v/>
      </c>
      <c r="BT6" s="49" t="str">
        <f t="shared" si="15"/>
        <v/>
      </c>
      <c r="BU6" s="49" t="str">
        <f t="shared" si="15"/>
        <v/>
      </c>
      <c r="BV6" s="49" t="str">
        <f t="shared" si="15"/>
        <v/>
      </c>
      <c r="BW6" s="49" t="str">
        <f t="shared" si="15"/>
        <v/>
      </c>
      <c r="BX6" s="49" t="str">
        <f t="shared" si="15"/>
        <v/>
      </c>
      <c r="BY6" s="49" t="str">
        <f t="shared" si="15"/>
        <v/>
      </c>
      <c r="BZ6" s="49" t="str">
        <f t="shared" si="15"/>
        <v/>
      </c>
      <c r="CA6" s="49" t="str">
        <f t="shared" si="15"/>
        <v/>
      </c>
      <c r="CB6" s="49" t="str">
        <f t="shared" si="15"/>
        <v/>
      </c>
      <c r="CC6" s="49" t="str">
        <f t="shared" si="15"/>
        <v/>
      </c>
      <c r="CD6" s="49" t="str">
        <f t="shared" si="15"/>
        <v/>
      </c>
      <c r="CE6" s="49" t="str">
        <f t="shared" si="15"/>
        <v/>
      </c>
      <c r="CF6" s="49" t="str">
        <f t="shared" si="15"/>
        <v/>
      </c>
      <c r="CG6" s="49" t="str">
        <f t="shared" si="15"/>
        <v/>
      </c>
      <c r="CH6" s="49" t="str">
        <f t="shared" si="15"/>
        <v/>
      </c>
      <c r="CI6" s="49" t="str">
        <f t="shared" si="15"/>
        <v/>
      </c>
      <c r="CJ6" s="49" t="str">
        <f t="shared" si="15"/>
        <v/>
      </c>
      <c r="CK6" s="49" t="str">
        <f t="shared" si="15"/>
        <v/>
      </c>
      <c r="CL6" s="49" t="str">
        <f t="shared" si="15"/>
        <v/>
      </c>
      <c r="CM6" s="49" t="str">
        <f t="shared" si="15"/>
        <v/>
      </c>
      <c r="CN6" s="49" t="str">
        <f t="shared" si="15"/>
        <v/>
      </c>
      <c r="CO6" s="49" t="str">
        <f t="shared" si="15"/>
        <v/>
      </c>
      <c r="CP6" s="49" t="str">
        <f t="shared" si="15"/>
        <v/>
      </c>
      <c r="CQ6" s="49" t="str">
        <f t="shared" si="15"/>
        <v/>
      </c>
      <c r="CR6" s="49" t="str">
        <f t="shared" si="15"/>
        <v/>
      </c>
      <c r="CS6" s="49" t="str">
        <f t="shared" si="15"/>
        <v/>
      </c>
      <c r="CT6" s="49" t="str">
        <f t="shared" si="15"/>
        <v/>
      </c>
      <c r="CU6" s="49" t="str">
        <f t="shared" si="15"/>
        <v/>
      </c>
      <c r="CV6" s="49" t="str">
        <f t="shared" si="15"/>
        <v/>
      </c>
      <c r="CW6" s="49" t="str">
        <f t="shared" si="15"/>
        <v/>
      </c>
      <c r="CX6" s="49" t="str">
        <f t="shared" si="15"/>
        <v/>
      </c>
      <c r="CY6" s="49" t="str">
        <f t="shared" si="15"/>
        <v/>
      </c>
      <c r="CZ6" s="49" t="str">
        <f t="shared" si="15"/>
        <v/>
      </c>
      <c r="DA6" s="49" t="str">
        <f t="shared" si="15"/>
        <v/>
      </c>
      <c r="DB6" s="49" t="str">
        <f t="shared" si="15"/>
        <v/>
      </c>
      <c r="DC6" s="49" t="str">
        <f t="shared" si="15"/>
        <v/>
      </c>
      <c r="DD6" s="49" t="str">
        <f t="shared" si="15"/>
        <v/>
      </c>
      <c r="DE6" s="49" t="str">
        <f t="shared" si="15"/>
        <v/>
      </c>
      <c r="DF6" s="49" t="str">
        <f t="shared" si="15"/>
        <v/>
      </c>
      <c r="DG6" s="49" t="str">
        <f t="shared" si="15"/>
        <v/>
      </c>
      <c r="DH6" s="49" t="str">
        <f t="shared" si="15"/>
        <v/>
      </c>
      <c r="DI6" s="49" t="str">
        <f t="shared" si="15"/>
        <v/>
      </c>
      <c r="DJ6" s="49" t="str">
        <f t="shared" si="15"/>
        <v/>
      </c>
    </row>
    <row r="7" spans="1:114" ht="15.75" customHeight="1" x14ac:dyDescent="0.55000000000000004">
      <c r="A7" s="41" t="str">
        <f>MASANIELLO!C9</f>
        <v>W</v>
      </c>
      <c r="B7" s="41">
        <f t="shared" si="2"/>
        <v>1</v>
      </c>
      <c r="C7" s="42">
        <f t="shared" si="3"/>
        <v>6.8835701763761472</v>
      </c>
      <c r="D7" s="42">
        <f t="shared" si="4"/>
        <v>8.9486412292889899</v>
      </c>
      <c r="E7" s="42">
        <f t="shared" si="5"/>
        <v>0</v>
      </c>
      <c r="F7" s="42">
        <f t="shared" si="6"/>
        <v>67.240750524091851</v>
      </c>
      <c r="G7" s="50">
        <f t="shared" si="7"/>
        <v>67.240750524091851</v>
      </c>
      <c r="H7" s="41">
        <f t="shared" si="8"/>
        <v>2</v>
      </c>
      <c r="I7" s="41">
        <f t="shared" si="9"/>
        <v>3</v>
      </c>
      <c r="J7" s="45">
        <f t="shared" si="10"/>
        <v>0.6</v>
      </c>
      <c r="M7" s="48">
        <f t="shared" si="11"/>
        <v>5</v>
      </c>
      <c r="N7" s="49">
        <f t="shared" ref="N7:DJ7" si="16">IF(N$1&gt;$L$2,   "",   IF(N$1=$L$2,  1,  IF($L$2-N$1=$L$1-$M7, $L$3^($L$1-$M7), ($L$3*N8*O8/(N8+($L$3-1)*O8) ))))</f>
        <v>8.5817906666666648</v>
      </c>
      <c r="O7" s="49">
        <f t="shared" si="16"/>
        <v>2.6378454918032777</v>
      </c>
      <c r="P7" s="49">
        <f t="shared" si="16"/>
        <v>1.3880403277981452</v>
      </c>
      <c r="Q7" s="49">
        <f t="shared" si="16"/>
        <v>1.0612184565667224</v>
      </c>
      <c r="R7" s="49">
        <f t="shared" si="16"/>
        <v>1</v>
      </c>
      <c r="S7" s="49" t="str">
        <f t="shared" si="16"/>
        <v/>
      </c>
      <c r="T7" s="49" t="str">
        <f t="shared" si="16"/>
        <v/>
      </c>
      <c r="U7" s="49" t="str">
        <f t="shared" si="16"/>
        <v/>
      </c>
      <c r="V7" s="49" t="str">
        <f t="shared" si="16"/>
        <v/>
      </c>
      <c r="W7" s="49" t="str">
        <f t="shared" si="16"/>
        <v/>
      </c>
      <c r="X7" s="49" t="str">
        <f t="shared" si="16"/>
        <v/>
      </c>
      <c r="Y7" s="49" t="str">
        <f t="shared" si="16"/>
        <v/>
      </c>
      <c r="Z7" s="49" t="str">
        <f t="shared" si="16"/>
        <v/>
      </c>
      <c r="AA7" s="49" t="str">
        <f t="shared" si="16"/>
        <v/>
      </c>
      <c r="AB7" s="49" t="str">
        <f t="shared" si="16"/>
        <v/>
      </c>
      <c r="AC7" s="49" t="str">
        <f t="shared" si="16"/>
        <v/>
      </c>
      <c r="AD7" s="49" t="str">
        <f t="shared" si="16"/>
        <v/>
      </c>
      <c r="AE7" s="49" t="str">
        <f t="shared" si="16"/>
        <v/>
      </c>
      <c r="AF7" s="49" t="str">
        <f t="shared" si="16"/>
        <v/>
      </c>
      <c r="AG7" s="49" t="str">
        <f t="shared" si="16"/>
        <v/>
      </c>
      <c r="AH7" s="49" t="str">
        <f t="shared" si="16"/>
        <v/>
      </c>
      <c r="AI7" s="49" t="str">
        <f t="shared" si="16"/>
        <v/>
      </c>
      <c r="AJ7" s="49" t="str">
        <f t="shared" si="16"/>
        <v/>
      </c>
      <c r="AK7" s="49" t="str">
        <f t="shared" si="16"/>
        <v/>
      </c>
      <c r="AL7" s="49" t="str">
        <f t="shared" si="16"/>
        <v/>
      </c>
      <c r="AM7" s="49" t="str">
        <f t="shared" si="16"/>
        <v/>
      </c>
      <c r="AN7" s="49" t="str">
        <f t="shared" si="16"/>
        <v/>
      </c>
      <c r="AO7" s="49" t="str">
        <f t="shared" si="16"/>
        <v/>
      </c>
      <c r="AP7" s="49" t="str">
        <f t="shared" si="16"/>
        <v/>
      </c>
      <c r="AQ7" s="49" t="str">
        <f t="shared" si="16"/>
        <v/>
      </c>
      <c r="AR7" s="49" t="str">
        <f t="shared" si="16"/>
        <v/>
      </c>
      <c r="AS7" s="49" t="str">
        <f t="shared" si="16"/>
        <v/>
      </c>
      <c r="AT7" s="49" t="str">
        <f t="shared" si="16"/>
        <v/>
      </c>
      <c r="AU7" s="49" t="str">
        <f t="shared" si="16"/>
        <v/>
      </c>
      <c r="AV7" s="49" t="str">
        <f t="shared" si="16"/>
        <v/>
      </c>
      <c r="AW7" s="49" t="str">
        <f t="shared" si="16"/>
        <v/>
      </c>
      <c r="AX7" s="49" t="str">
        <f t="shared" si="16"/>
        <v/>
      </c>
      <c r="AY7" s="49" t="str">
        <f t="shared" si="16"/>
        <v/>
      </c>
      <c r="AZ7" s="49" t="str">
        <f t="shared" si="16"/>
        <v/>
      </c>
      <c r="BA7" s="49" t="str">
        <f t="shared" si="16"/>
        <v/>
      </c>
      <c r="BB7" s="49" t="str">
        <f t="shared" si="16"/>
        <v/>
      </c>
      <c r="BC7" s="49" t="str">
        <f t="shared" si="16"/>
        <v/>
      </c>
      <c r="BD7" s="49" t="str">
        <f t="shared" si="16"/>
        <v/>
      </c>
      <c r="BE7" s="49" t="str">
        <f t="shared" si="16"/>
        <v/>
      </c>
      <c r="BF7" s="49" t="str">
        <f t="shared" si="16"/>
        <v/>
      </c>
      <c r="BG7" s="49" t="str">
        <f t="shared" si="16"/>
        <v/>
      </c>
      <c r="BH7" s="49" t="str">
        <f t="shared" si="16"/>
        <v/>
      </c>
      <c r="BI7" s="49" t="str">
        <f t="shared" si="16"/>
        <v/>
      </c>
      <c r="BJ7" s="49" t="str">
        <f t="shared" si="16"/>
        <v/>
      </c>
      <c r="BK7" s="49" t="str">
        <f t="shared" si="16"/>
        <v/>
      </c>
      <c r="BL7" s="49" t="str">
        <f t="shared" si="16"/>
        <v/>
      </c>
      <c r="BM7" s="49" t="str">
        <f t="shared" si="16"/>
        <v/>
      </c>
      <c r="BN7" s="49" t="str">
        <f t="shared" si="16"/>
        <v/>
      </c>
      <c r="BO7" s="49" t="str">
        <f t="shared" si="16"/>
        <v/>
      </c>
      <c r="BP7" s="49" t="str">
        <f t="shared" si="16"/>
        <v/>
      </c>
      <c r="BQ7" s="49" t="str">
        <f t="shared" si="16"/>
        <v/>
      </c>
      <c r="BR7" s="49" t="str">
        <f t="shared" si="16"/>
        <v/>
      </c>
      <c r="BS7" s="49" t="str">
        <f t="shared" si="16"/>
        <v/>
      </c>
      <c r="BT7" s="49" t="str">
        <f t="shared" si="16"/>
        <v/>
      </c>
      <c r="BU7" s="49" t="str">
        <f t="shared" si="16"/>
        <v/>
      </c>
      <c r="BV7" s="49" t="str">
        <f t="shared" si="16"/>
        <v/>
      </c>
      <c r="BW7" s="49" t="str">
        <f t="shared" si="16"/>
        <v/>
      </c>
      <c r="BX7" s="49" t="str">
        <f t="shared" si="16"/>
        <v/>
      </c>
      <c r="BY7" s="49" t="str">
        <f t="shared" si="16"/>
        <v/>
      </c>
      <c r="BZ7" s="49" t="str">
        <f t="shared" si="16"/>
        <v/>
      </c>
      <c r="CA7" s="49" t="str">
        <f t="shared" si="16"/>
        <v/>
      </c>
      <c r="CB7" s="49" t="str">
        <f t="shared" si="16"/>
        <v/>
      </c>
      <c r="CC7" s="49" t="str">
        <f t="shared" si="16"/>
        <v/>
      </c>
      <c r="CD7" s="49" t="str">
        <f t="shared" si="16"/>
        <v/>
      </c>
      <c r="CE7" s="49" t="str">
        <f t="shared" si="16"/>
        <v/>
      </c>
      <c r="CF7" s="49" t="str">
        <f t="shared" si="16"/>
        <v/>
      </c>
      <c r="CG7" s="49" t="str">
        <f t="shared" si="16"/>
        <v/>
      </c>
      <c r="CH7" s="49" t="str">
        <f t="shared" si="16"/>
        <v/>
      </c>
      <c r="CI7" s="49" t="str">
        <f t="shared" si="16"/>
        <v/>
      </c>
      <c r="CJ7" s="49" t="str">
        <f t="shared" si="16"/>
        <v/>
      </c>
      <c r="CK7" s="49" t="str">
        <f t="shared" si="16"/>
        <v/>
      </c>
      <c r="CL7" s="49" t="str">
        <f t="shared" si="16"/>
        <v/>
      </c>
      <c r="CM7" s="49" t="str">
        <f t="shared" si="16"/>
        <v/>
      </c>
      <c r="CN7" s="49" t="str">
        <f t="shared" si="16"/>
        <v/>
      </c>
      <c r="CO7" s="49" t="str">
        <f t="shared" si="16"/>
        <v/>
      </c>
      <c r="CP7" s="49" t="str">
        <f t="shared" si="16"/>
        <v/>
      </c>
      <c r="CQ7" s="49" t="str">
        <f t="shared" si="16"/>
        <v/>
      </c>
      <c r="CR7" s="49" t="str">
        <f t="shared" si="16"/>
        <v/>
      </c>
      <c r="CS7" s="49" t="str">
        <f t="shared" si="16"/>
        <v/>
      </c>
      <c r="CT7" s="49" t="str">
        <f t="shared" si="16"/>
        <v/>
      </c>
      <c r="CU7" s="49" t="str">
        <f t="shared" si="16"/>
        <v/>
      </c>
      <c r="CV7" s="49" t="str">
        <f t="shared" si="16"/>
        <v/>
      </c>
      <c r="CW7" s="49" t="str">
        <f t="shared" si="16"/>
        <v/>
      </c>
      <c r="CX7" s="49" t="str">
        <f t="shared" si="16"/>
        <v/>
      </c>
      <c r="CY7" s="49" t="str">
        <f t="shared" si="16"/>
        <v/>
      </c>
      <c r="CZ7" s="49" t="str">
        <f t="shared" si="16"/>
        <v/>
      </c>
      <c r="DA7" s="49" t="str">
        <f t="shared" si="16"/>
        <v/>
      </c>
      <c r="DB7" s="49" t="str">
        <f t="shared" si="16"/>
        <v/>
      </c>
      <c r="DC7" s="49" t="str">
        <f t="shared" si="16"/>
        <v/>
      </c>
      <c r="DD7" s="49" t="str">
        <f t="shared" si="16"/>
        <v/>
      </c>
      <c r="DE7" s="49" t="str">
        <f t="shared" si="16"/>
        <v/>
      </c>
      <c r="DF7" s="49" t="str">
        <f t="shared" si="16"/>
        <v/>
      </c>
      <c r="DG7" s="49" t="str">
        <f t="shared" si="16"/>
        <v/>
      </c>
      <c r="DH7" s="49" t="str">
        <f t="shared" si="16"/>
        <v/>
      </c>
      <c r="DI7" s="49" t="str">
        <f t="shared" si="16"/>
        <v/>
      </c>
      <c r="DJ7" s="49" t="str">
        <f t="shared" si="16"/>
        <v/>
      </c>
    </row>
    <row r="8" spans="1:114" ht="15.75" customHeight="1" x14ac:dyDescent="0.55000000000000004">
      <c r="A8" s="41" t="str">
        <f>MASANIELLO!C10</f>
        <v>L</v>
      </c>
      <c r="B8" s="41">
        <f t="shared" si="2"/>
        <v>0</v>
      </c>
      <c r="C8" s="42">
        <f t="shared" si="3"/>
        <v>3.1664422811330346</v>
      </c>
      <c r="D8" s="42">
        <f t="shared" si="4"/>
        <v>0</v>
      </c>
      <c r="E8" s="42">
        <f t="shared" si="5"/>
        <v>0</v>
      </c>
      <c r="F8" s="42">
        <f t="shared" si="6"/>
        <v>64.074308242958821</v>
      </c>
      <c r="G8" s="50">
        <f t="shared" si="7"/>
        <v>67.240750524091851</v>
      </c>
      <c r="H8" s="41">
        <f t="shared" si="8"/>
        <v>3</v>
      </c>
      <c r="I8" s="41">
        <f t="shared" si="9"/>
        <v>3</v>
      </c>
      <c r="J8" s="45">
        <f t="shared" si="10"/>
        <v>0.5</v>
      </c>
      <c r="M8" s="48">
        <f t="shared" si="11"/>
        <v>6</v>
      </c>
      <c r="N8" s="49">
        <f t="shared" ref="N8:DJ8" si="17">IF(N$1&gt;$L$2,   "",   IF(N$1=$L$2,  1,  IF($L$2-N$1=$L$1-$M8, $L$3^($L$1-$M8), ($L$3*N9*O9/(N9+($L$3-1)*O9) ))))</f>
        <v>27.984099999999991</v>
      </c>
      <c r="O8" s="49">
        <f t="shared" si="17"/>
        <v>4.5135645161290308</v>
      </c>
      <c r="P8" s="49">
        <f t="shared" si="17"/>
        <v>1.7126132190942469</v>
      </c>
      <c r="Q8" s="49">
        <f t="shared" si="17"/>
        <v>1.1136620503024515</v>
      </c>
      <c r="R8" s="49">
        <f t="shared" si="17"/>
        <v>1</v>
      </c>
      <c r="S8" s="49" t="str">
        <f t="shared" si="17"/>
        <v/>
      </c>
      <c r="T8" s="49" t="str">
        <f t="shared" si="17"/>
        <v/>
      </c>
      <c r="U8" s="49" t="str">
        <f t="shared" si="17"/>
        <v/>
      </c>
      <c r="V8" s="49" t="str">
        <f t="shared" si="17"/>
        <v/>
      </c>
      <c r="W8" s="49" t="str">
        <f t="shared" si="17"/>
        <v/>
      </c>
      <c r="X8" s="49" t="str">
        <f t="shared" si="17"/>
        <v/>
      </c>
      <c r="Y8" s="49" t="str">
        <f t="shared" si="17"/>
        <v/>
      </c>
      <c r="Z8" s="49" t="str">
        <f t="shared" si="17"/>
        <v/>
      </c>
      <c r="AA8" s="49" t="str">
        <f t="shared" si="17"/>
        <v/>
      </c>
      <c r="AB8" s="49" t="str">
        <f t="shared" si="17"/>
        <v/>
      </c>
      <c r="AC8" s="49" t="str">
        <f t="shared" si="17"/>
        <v/>
      </c>
      <c r="AD8" s="49" t="str">
        <f t="shared" si="17"/>
        <v/>
      </c>
      <c r="AE8" s="49" t="str">
        <f t="shared" si="17"/>
        <v/>
      </c>
      <c r="AF8" s="49" t="str">
        <f t="shared" si="17"/>
        <v/>
      </c>
      <c r="AG8" s="49" t="str">
        <f t="shared" si="17"/>
        <v/>
      </c>
      <c r="AH8" s="49" t="str">
        <f t="shared" si="17"/>
        <v/>
      </c>
      <c r="AI8" s="49" t="str">
        <f t="shared" si="17"/>
        <v/>
      </c>
      <c r="AJ8" s="49" t="str">
        <f t="shared" si="17"/>
        <v/>
      </c>
      <c r="AK8" s="49" t="str">
        <f t="shared" si="17"/>
        <v/>
      </c>
      <c r="AL8" s="49" t="str">
        <f t="shared" si="17"/>
        <v/>
      </c>
      <c r="AM8" s="49" t="str">
        <f t="shared" si="17"/>
        <v/>
      </c>
      <c r="AN8" s="49" t="str">
        <f t="shared" si="17"/>
        <v/>
      </c>
      <c r="AO8" s="49" t="str">
        <f t="shared" si="17"/>
        <v/>
      </c>
      <c r="AP8" s="49" t="str">
        <f t="shared" si="17"/>
        <v/>
      </c>
      <c r="AQ8" s="49" t="str">
        <f t="shared" si="17"/>
        <v/>
      </c>
      <c r="AR8" s="49" t="str">
        <f t="shared" si="17"/>
        <v/>
      </c>
      <c r="AS8" s="49" t="str">
        <f t="shared" si="17"/>
        <v/>
      </c>
      <c r="AT8" s="49" t="str">
        <f t="shared" si="17"/>
        <v/>
      </c>
      <c r="AU8" s="49" t="str">
        <f t="shared" si="17"/>
        <v/>
      </c>
      <c r="AV8" s="49" t="str">
        <f t="shared" si="17"/>
        <v/>
      </c>
      <c r="AW8" s="49" t="str">
        <f t="shared" si="17"/>
        <v/>
      </c>
      <c r="AX8" s="49" t="str">
        <f t="shared" si="17"/>
        <v/>
      </c>
      <c r="AY8" s="49" t="str">
        <f t="shared" si="17"/>
        <v/>
      </c>
      <c r="AZ8" s="49" t="str">
        <f t="shared" si="17"/>
        <v/>
      </c>
      <c r="BA8" s="49" t="str">
        <f t="shared" si="17"/>
        <v/>
      </c>
      <c r="BB8" s="49" t="str">
        <f t="shared" si="17"/>
        <v/>
      </c>
      <c r="BC8" s="49" t="str">
        <f t="shared" si="17"/>
        <v/>
      </c>
      <c r="BD8" s="49" t="str">
        <f t="shared" si="17"/>
        <v/>
      </c>
      <c r="BE8" s="49" t="str">
        <f t="shared" si="17"/>
        <v/>
      </c>
      <c r="BF8" s="49" t="str">
        <f t="shared" si="17"/>
        <v/>
      </c>
      <c r="BG8" s="49" t="str">
        <f t="shared" si="17"/>
        <v/>
      </c>
      <c r="BH8" s="49" t="str">
        <f t="shared" si="17"/>
        <v/>
      </c>
      <c r="BI8" s="49" t="str">
        <f t="shared" si="17"/>
        <v/>
      </c>
      <c r="BJ8" s="49" t="str">
        <f t="shared" si="17"/>
        <v/>
      </c>
      <c r="BK8" s="49" t="str">
        <f t="shared" si="17"/>
        <v/>
      </c>
      <c r="BL8" s="49" t="str">
        <f t="shared" si="17"/>
        <v/>
      </c>
      <c r="BM8" s="49" t="str">
        <f t="shared" si="17"/>
        <v/>
      </c>
      <c r="BN8" s="49" t="str">
        <f t="shared" si="17"/>
        <v/>
      </c>
      <c r="BO8" s="49" t="str">
        <f t="shared" si="17"/>
        <v/>
      </c>
      <c r="BP8" s="49" t="str">
        <f t="shared" si="17"/>
        <v/>
      </c>
      <c r="BQ8" s="49" t="str">
        <f t="shared" si="17"/>
        <v/>
      </c>
      <c r="BR8" s="49" t="str">
        <f t="shared" si="17"/>
        <v/>
      </c>
      <c r="BS8" s="49" t="str">
        <f t="shared" si="17"/>
        <v/>
      </c>
      <c r="BT8" s="49" t="str">
        <f t="shared" si="17"/>
        <v/>
      </c>
      <c r="BU8" s="49" t="str">
        <f t="shared" si="17"/>
        <v/>
      </c>
      <c r="BV8" s="49" t="str">
        <f t="shared" si="17"/>
        <v/>
      </c>
      <c r="BW8" s="49" t="str">
        <f t="shared" si="17"/>
        <v/>
      </c>
      <c r="BX8" s="49" t="str">
        <f t="shared" si="17"/>
        <v/>
      </c>
      <c r="BY8" s="49" t="str">
        <f t="shared" si="17"/>
        <v/>
      </c>
      <c r="BZ8" s="49" t="str">
        <f t="shared" si="17"/>
        <v/>
      </c>
      <c r="CA8" s="49" t="str">
        <f t="shared" si="17"/>
        <v/>
      </c>
      <c r="CB8" s="49" t="str">
        <f t="shared" si="17"/>
        <v/>
      </c>
      <c r="CC8" s="49" t="str">
        <f t="shared" si="17"/>
        <v/>
      </c>
      <c r="CD8" s="49" t="str">
        <f t="shared" si="17"/>
        <v/>
      </c>
      <c r="CE8" s="49" t="str">
        <f t="shared" si="17"/>
        <v/>
      </c>
      <c r="CF8" s="49" t="str">
        <f t="shared" si="17"/>
        <v/>
      </c>
      <c r="CG8" s="49" t="str">
        <f t="shared" si="17"/>
        <v/>
      </c>
      <c r="CH8" s="49" t="str">
        <f t="shared" si="17"/>
        <v/>
      </c>
      <c r="CI8" s="49" t="str">
        <f t="shared" si="17"/>
        <v/>
      </c>
      <c r="CJ8" s="49" t="str">
        <f t="shared" si="17"/>
        <v/>
      </c>
      <c r="CK8" s="49" t="str">
        <f t="shared" si="17"/>
        <v/>
      </c>
      <c r="CL8" s="49" t="str">
        <f t="shared" si="17"/>
        <v/>
      </c>
      <c r="CM8" s="49" t="str">
        <f t="shared" si="17"/>
        <v/>
      </c>
      <c r="CN8" s="49" t="str">
        <f t="shared" si="17"/>
        <v/>
      </c>
      <c r="CO8" s="49" t="str">
        <f t="shared" si="17"/>
        <v/>
      </c>
      <c r="CP8" s="49" t="str">
        <f t="shared" si="17"/>
        <v/>
      </c>
      <c r="CQ8" s="49" t="str">
        <f t="shared" si="17"/>
        <v/>
      </c>
      <c r="CR8" s="49" t="str">
        <f t="shared" si="17"/>
        <v/>
      </c>
      <c r="CS8" s="49" t="str">
        <f t="shared" si="17"/>
        <v/>
      </c>
      <c r="CT8" s="49" t="str">
        <f t="shared" si="17"/>
        <v/>
      </c>
      <c r="CU8" s="49" t="str">
        <f t="shared" si="17"/>
        <v/>
      </c>
      <c r="CV8" s="49" t="str">
        <f t="shared" si="17"/>
        <v/>
      </c>
      <c r="CW8" s="49" t="str">
        <f t="shared" si="17"/>
        <v/>
      </c>
      <c r="CX8" s="49" t="str">
        <f t="shared" si="17"/>
        <v/>
      </c>
      <c r="CY8" s="49" t="str">
        <f t="shared" si="17"/>
        <v/>
      </c>
      <c r="CZ8" s="49" t="str">
        <f t="shared" si="17"/>
        <v/>
      </c>
      <c r="DA8" s="49" t="str">
        <f t="shared" si="17"/>
        <v/>
      </c>
      <c r="DB8" s="49" t="str">
        <f t="shared" si="17"/>
        <v/>
      </c>
      <c r="DC8" s="49" t="str">
        <f t="shared" si="17"/>
        <v/>
      </c>
      <c r="DD8" s="49" t="str">
        <f t="shared" si="17"/>
        <v/>
      </c>
      <c r="DE8" s="49" t="str">
        <f t="shared" si="17"/>
        <v/>
      </c>
      <c r="DF8" s="49" t="str">
        <f t="shared" si="17"/>
        <v/>
      </c>
      <c r="DG8" s="49" t="str">
        <f t="shared" si="17"/>
        <v/>
      </c>
      <c r="DH8" s="49" t="str">
        <f t="shared" si="17"/>
        <v/>
      </c>
      <c r="DI8" s="49" t="str">
        <f t="shared" si="17"/>
        <v/>
      </c>
      <c r="DJ8" s="49" t="str">
        <f t="shared" si="17"/>
        <v/>
      </c>
    </row>
    <row r="9" spans="1:114" ht="15.75" customHeight="1" x14ac:dyDescent="0.55000000000000004">
      <c r="A9" s="41" t="str">
        <f>MASANIELLO!C11</f>
        <v>L</v>
      </c>
      <c r="B9" s="41">
        <f t="shared" si="2"/>
        <v>0</v>
      </c>
      <c r="C9" s="42">
        <f t="shared" si="3"/>
        <v>5.6021671127738184</v>
      </c>
      <c r="D9" s="42">
        <f t="shared" si="4"/>
        <v>0</v>
      </c>
      <c r="E9" s="42">
        <f t="shared" si="5"/>
        <v>0</v>
      </c>
      <c r="F9" s="42">
        <f t="shared" si="6"/>
        <v>58.472141130185001</v>
      </c>
      <c r="G9" s="50">
        <f t="shared" si="7"/>
        <v>67.240750524091851</v>
      </c>
      <c r="H9" s="41">
        <f t="shared" si="8"/>
        <v>4</v>
      </c>
      <c r="I9" s="41">
        <f t="shared" si="9"/>
        <v>3</v>
      </c>
      <c r="J9" s="45">
        <f t="shared" si="10"/>
        <v>0.42857142857142855</v>
      </c>
      <c r="M9" s="48">
        <f t="shared" si="11"/>
        <v>7</v>
      </c>
      <c r="N9" s="49" t="e">
        <f t="shared" ref="N9:DJ9" si="18">IF(N$1&gt;$L$2,   "",   IF(N$1=$L$2,  1,  IF($L$2-N$1=$L$1-$M9, $L$3^($L$1-$M9), ($L$3*N10*O10/(N10+($L$3-1)*O10) ))))</f>
        <v>#DIV/0!</v>
      </c>
      <c r="O9" s="49">
        <f t="shared" si="18"/>
        <v>12.166999999999996</v>
      </c>
      <c r="P9" s="49">
        <f t="shared" si="18"/>
        <v>2.4830612244897954</v>
      </c>
      <c r="Q9" s="49">
        <f t="shared" si="18"/>
        <v>1.2203610832497493</v>
      </c>
      <c r="R9" s="49">
        <f t="shared" si="18"/>
        <v>1</v>
      </c>
      <c r="S9" s="49" t="str">
        <f t="shared" si="18"/>
        <v/>
      </c>
      <c r="T9" s="49" t="str">
        <f t="shared" si="18"/>
        <v/>
      </c>
      <c r="U9" s="49" t="str">
        <f t="shared" si="18"/>
        <v/>
      </c>
      <c r="V9" s="49" t="str">
        <f t="shared" si="18"/>
        <v/>
      </c>
      <c r="W9" s="49" t="str">
        <f t="shared" si="18"/>
        <v/>
      </c>
      <c r="X9" s="49" t="str">
        <f t="shared" si="18"/>
        <v/>
      </c>
      <c r="Y9" s="49" t="str">
        <f t="shared" si="18"/>
        <v/>
      </c>
      <c r="Z9" s="49" t="str">
        <f t="shared" si="18"/>
        <v/>
      </c>
      <c r="AA9" s="49" t="str">
        <f t="shared" si="18"/>
        <v/>
      </c>
      <c r="AB9" s="49" t="str">
        <f t="shared" si="18"/>
        <v/>
      </c>
      <c r="AC9" s="49" t="str">
        <f t="shared" si="18"/>
        <v/>
      </c>
      <c r="AD9" s="49" t="str">
        <f t="shared" si="18"/>
        <v/>
      </c>
      <c r="AE9" s="49" t="str">
        <f t="shared" si="18"/>
        <v/>
      </c>
      <c r="AF9" s="49" t="str">
        <f t="shared" si="18"/>
        <v/>
      </c>
      <c r="AG9" s="49" t="str">
        <f t="shared" si="18"/>
        <v/>
      </c>
      <c r="AH9" s="49" t="str">
        <f t="shared" si="18"/>
        <v/>
      </c>
      <c r="AI9" s="49" t="str">
        <f t="shared" si="18"/>
        <v/>
      </c>
      <c r="AJ9" s="49" t="str">
        <f t="shared" si="18"/>
        <v/>
      </c>
      <c r="AK9" s="49" t="str">
        <f t="shared" si="18"/>
        <v/>
      </c>
      <c r="AL9" s="49" t="str">
        <f t="shared" si="18"/>
        <v/>
      </c>
      <c r="AM9" s="49" t="str">
        <f t="shared" si="18"/>
        <v/>
      </c>
      <c r="AN9" s="49" t="str">
        <f t="shared" si="18"/>
        <v/>
      </c>
      <c r="AO9" s="49" t="str">
        <f t="shared" si="18"/>
        <v/>
      </c>
      <c r="AP9" s="49" t="str">
        <f t="shared" si="18"/>
        <v/>
      </c>
      <c r="AQ9" s="49" t="str">
        <f t="shared" si="18"/>
        <v/>
      </c>
      <c r="AR9" s="49" t="str">
        <f t="shared" si="18"/>
        <v/>
      </c>
      <c r="AS9" s="49" t="str">
        <f t="shared" si="18"/>
        <v/>
      </c>
      <c r="AT9" s="49" t="str">
        <f t="shared" si="18"/>
        <v/>
      </c>
      <c r="AU9" s="49" t="str">
        <f t="shared" si="18"/>
        <v/>
      </c>
      <c r="AV9" s="49" t="str">
        <f t="shared" si="18"/>
        <v/>
      </c>
      <c r="AW9" s="49" t="str">
        <f t="shared" si="18"/>
        <v/>
      </c>
      <c r="AX9" s="49" t="str">
        <f t="shared" si="18"/>
        <v/>
      </c>
      <c r="AY9" s="49" t="str">
        <f t="shared" si="18"/>
        <v/>
      </c>
      <c r="AZ9" s="49" t="str">
        <f t="shared" si="18"/>
        <v/>
      </c>
      <c r="BA9" s="49" t="str">
        <f t="shared" si="18"/>
        <v/>
      </c>
      <c r="BB9" s="49" t="str">
        <f t="shared" si="18"/>
        <v/>
      </c>
      <c r="BC9" s="49" t="str">
        <f t="shared" si="18"/>
        <v/>
      </c>
      <c r="BD9" s="49" t="str">
        <f t="shared" si="18"/>
        <v/>
      </c>
      <c r="BE9" s="49" t="str">
        <f t="shared" si="18"/>
        <v/>
      </c>
      <c r="BF9" s="49" t="str">
        <f t="shared" si="18"/>
        <v/>
      </c>
      <c r="BG9" s="49" t="str">
        <f t="shared" si="18"/>
        <v/>
      </c>
      <c r="BH9" s="49" t="str">
        <f t="shared" si="18"/>
        <v/>
      </c>
      <c r="BI9" s="49" t="str">
        <f t="shared" si="18"/>
        <v/>
      </c>
      <c r="BJ9" s="49" t="str">
        <f t="shared" si="18"/>
        <v/>
      </c>
      <c r="BK9" s="49" t="str">
        <f t="shared" si="18"/>
        <v/>
      </c>
      <c r="BL9" s="49" t="str">
        <f t="shared" si="18"/>
        <v/>
      </c>
      <c r="BM9" s="49" t="str">
        <f t="shared" si="18"/>
        <v/>
      </c>
      <c r="BN9" s="49" t="str">
        <f t="shared" si="18"/>
        <v/>
      </c>
      <c r="BO9" s="49" t="str">
        <f t="shared" si="18"/>
        <v/>
      </c>
      <c r="BP9" s="49" t="str">
        <f t="shared" si="18"/>
        <v/>
      </c>
      <c r="BQ9" s="49" t="str">
        <f t="shared" si="18"/>
        <v/>
      </c>
      <c r="BR9" s="49" t="str">
        <f t="shared" si="18"/>
        <v/>
      </c>
      <c r="BS9" s="49" t="str">
        <f t="shared" si="18"/>
        <v/>
      </c>
      <c r="BT9" s="49" t="str">
        <f t="shared" si="18"/>
        <v/>
      </c>
      <c r="BU9" s="49" t="str">
        <f t="shared" si="18"/>
        <v/>
      </c>
      <c r="BV9" s="49" t="str">
        <f t="shared" si="18"/>
        <v/>
      </c>
      <c r="BW9" s="49" t="str">
        <f t="shared" si="18"/>
        <v/>
      </c>
      <c r="BX9" s="49" t="str">
        <f t="shared" si="18"/>
        <v/>
      </c>
      <c r="BY9" s="49" t="str">
        <f t="shared" si="18"/>
        <v/>
      </c>
      <c r="BZ9" s="49" t="str">
        <f t="shared" si="18"/>
        <v/>
      </c>
      <c r="CA9" s="49" t="str">
        <f t="shared" si="18"/>
        <v/>
      </c>
      <c r="CB9" s="49" t="str">
        <f t="shared" si="18"/>
        <v/>
      </c>
      <c r="CC9" s="49" t="str">
        <f t="shared" si="18"/>
        <v/>
      </c>
      <c r="CD9" s="49" t="str">
        <f t="shared" si="18"/>
        <v/>
      </c>
      <c r="CE9" s="49" t="str">
        <f t="shared" si="18"/>
        <v/>
      </c>
      <c r="CF9" s="49" t="str">
        <f t="shared" si="18"/>
        <v/>
      </c>
      <c r="CG9" s="49" t="str">
        <f t="shared" si="18"/>
        <v/>
      </c>
      <c r="CH9" s="49" t="str">
        <f t="shared" si="18"/>
        <v/>
      </c>
      <c r="CI9" s="49" t="str">
        <f t="shared" si="18"/>
        <v/>
      </c>
      <c r="CJ9" s="49" t="str">
        <f t="shared" si="18"/>
        <v/>
      </c>
      <c r="CK9" s="49" t="str">
        <f t="shared" si="18"/>
        <v/>
      </c>
      <c r="CL9" s="49" t="str">
        <f t="shared" si="18"/>
        <v/>
      </c>
      <c r="CM9" s="49" t="str">
        <f t="shared" si="18"/>
        <v/>
      </c>
      <c r="CN9" s="49" t="str">
        <f t="shared" si="18"/>
        <v/>
      </c>
      <c r="CO9" s="49" t="str">
        <f t="shared" si="18"/>
        <v/>
      </c>
      <c r="CP9" s="49" t="str">
        <f t="shared" si="18"/>
        <v/>
      </c>
      <c r="CQ9" s="49" t="str">
        <f t="shared" si="18"/>
        <v/>
      </c>
      <c r="CR9" s="49" t="str">
        <f t="shared" si="18"/>
        <v/>
      </c>
      <c r="CS9" s="49" t="str">
        <f t="shared" si="18"/>
        <v/>
      </c>
      <c r="CT9" s="49" t="str">
        <f t="shared" si="18"/>
        <v/>
      </c>
      <c r="CU9" s="49" t="str">
        <f t="shared" si="18"/>
        <v/>
      </c>
      <c r="CV9" s="49" t="str">
        <f t="shared" si="18"/>
        <v/>
      </c>
      <c r="CW9" s="49" t="str">
        <f t="shared" si="18"/>
        <v/>
      </c>
      <c r="CX9" s="49" t="str">
        <f t="shared" si="18"/>
        <v/>
      </c>
      <c r="CY9" s="49" t="str">
        <f t="shared" si="18"/>
        <v/>
      </c>
      <c r="CZ9" s="49" t="str">
        <f t="shared" si="18"/>
        <v/>
      </c>
      <c r="DA9" s="49" t="str">
        <f t="shared" si="18"/>
        <v/>
      </c>
      <c r="DB9" s="49" t="str">
        <f t="shared" si="18"/>
        <v/>
      </c>
      <c r="DC9" s="49" t="str">
        <f t="shared" si="18"/>
        <v/>
      </c>
      <c r="DD9" s="49" t="str">
        <f t="shared" si="18"/>
        <v/>
      </c>
      <c r="DE9" s="49" t="str">
        <f t="shared" si="18"/>
        <v/>
      </c>
      <c r="DF9" s="49" t="str">
        <f t="shared" si="18"/>
        <v/>
      </c>
      <c r="DG9" s="49" t="str">
        <f t="shared" si="18"/>
        <v/>
      </c>
      <c r="DH9" s="49" t="str">
        <f t="shared" si="18"/>
        <v/>
      </c>
      <c r="DI9" s="49" t="str">
        <f t="shared" si="18"/>
        <v/>
      </c>
      <c r="DJ9" s="49" t="str">
        <f t="shared" si="18"/>
        <v/>
      </c>
    </row>
    <row r="10" spans="1:114" ht="15.75" customHeight="1" x14ac:dyDescent="0.55000000000000004">
      <c r="A10" s="41" t="str">
        <f>MASANIELLO!C12</f>
        <v>L</v>
      </c>
      <c r="B10" s="41">
        <f t="shared" si="2"/>
        <v>0</v>
      </c>
      <c r="C10" s="42">
        <f t="shared" si="3"/>
        <v>9.9115264302921382</v>
      </c>
      <c r="D10" s="42">
        <f t="shared" si="4"/>
        <v>0</v>
      </c>
      <c r="E10" s="42">
        <f t="shared" si="5"/>
        <v>0</v>
      </c>
      <c r="F10" s="42">
        <f t="shared" si="6"/>
        <v>48.560614699892866</v>
      </c>
      <c r="G10" s="50">
        <f t="shared" si="7"/>
        <v>67.240750524091851</v>
      </c>
      <c r="H10" s="41">
        <f t="shared" si="8"/>
        <v>5</v>
      </c>
      <c r="I10" s="41">
        <f t="shared" si="9"/>
        <v>3</v>
      </c>
      <c r="J10" s="45">
        <f t="shared" si="10"/>
        <v>0.375</v>
      </c>
      <c r="M10" s="48">
        <f t="shared" si="11"/>
        <v>8</v>
      </c>
      <c r="N10" s="49" t="e">
        <f t="shared" ref="N10:DJ10" si="19">IF(N$1&gt;$L$2,   "",   IF(N$1=$L$2,  1,  IF($L$2-N$1=$L$1-$M10, $L$3^($L$1-$M10), ($L$3*N11*O11/(N11+($L$3-1)*O11) ))))</f>
        <v>#DIV/0!</v>
      </c>
      <c r="O10" s="49" t="e">
        <f t="shared" si="19"/>
        <v>#DIV/0!</v>
      </c>
      <c r="P10" s="49">
        <f t="shared" si="19"/>
        <v>5.2899999999999991</v>
      </c>
      <c r="Q10" s="49">
        <f t="shared" si="19"/>
        <v>1.4694444444444443</v>
      </c>
      <c r="R10" s="49">
        <f t="shared" si="19"/>
        <v>1</v>
      </c>
      <c r="S10" s="49" t="str">
        <f t="shared" si="19"/>
        <v/>
      </c>
      <c r="T10" s="49" t="str">
        <f t="shared" si="19"/>
        <v/>
      </c>
      <c r="U10" s="49" t="str">
        <f t="shared" si="19"/>
        <v/>
      </c>
      <c r="V10" s="49" t="str">
        <f t="shared" si="19"/>
        <v/>
      </c>
      <c r="W10" s="49" t="str">
        <f t="shared" si="19"/>
        <v/>
      </c>
      <c r="X10" s="49" t="str">
        <f t="shared" si="19"/>
        <v/>
      </c>
      <c r="Y10" s="49" t="str">
        <f t="shared" si="19"/>
        <v/>
      </c>
      <c r="Z10" s="49" t="str">
        <f t="shared" si="19"/>
        <v/>
      </c>
      <c r="AA10" s="49" t="str">
        <f t="shared" si="19"/>
        <v/>
      </c>
      <c r="AB10" s="49" t="str">
        <f t="shared" si="19"/>
        <v/>
      </c>
      <c r="AC10" s="49" t="str">
        <f t="shared" si="19"/>
        <v/>
      </c>
      <c r="AD10" s="49" t="str">
        <f t="shared" si="19"/>
        <v/>
      </c>
      <c r="AE10" s="49" t="str">
        <f t="shared" si="19"/>
        <v/>
      </c>
      <c r="AF10" s="49" t="str">
        <f t="shared" si="19"/>
        <v/>
      </c>
      <c r="AG10" s="49" t="str">
        <f t="shared" si="19"/>
        <v/>
      </c>
      <c r="AH10" s="49" t="str">
        <f t="shared" si="19"/>
        <v/>
      </c>
      <c r="AI10" s="49" t="str">
        <f t="shared" si="19"/>
        <v/>
      </c>
      <c r="AJ10" s="49" t="str">
        <f t="shared" si="19"/>
        <v/>
      </c>
      <c r="AK10" s="49" t="str">
        <f t="shared" si="19"/>
        <v/>
      </c>
      <c r="AL10" s="49" t="str">
        <f t="shared" si="19"/>
        <v/>
      </c>
      <c r="AM10" s="49" t="str">
        <f t="shared" si="19"/>
        <v/>
      </c>
      <c r="AN10" s="49" t="str">
        <f t="shared" si="19"/>
        <v/>
      </c>
      <c r="AO10" s="49" t="str">
        <f t="shared" si="19"/>
        <v/>
      </c>
      <c r="AP10" s="49" t="str">
        <f t="shared" si="19"/>
        <v/>
      </c>
      <c r="AQ10" s="49" t="str">
        <f t="shared" si="19"/>
        <v/>
      </c>
      <c r="AR10" s="49" t="str">
        <f t="shared" si="19"/>
        <v/>
      </c>
      <c r="AS10" s="49" t="str">
        <f t="shared" si="19"/>
        <v/>
      </c>
      <c r="AT10" s="49" t="str">
        <f t="shared" si="19"/>
        <v/>
      </c>
      <c r="AU10" s="49" t="str">
        <f t="shared" si="19"/>
        <v/>
      </c>
      <c r="AV10" s="49" t="str">
        <f t="shared" si="19"/>
        <v/>
      </c>
      <c r="AW10" s="49" t="str">
        <f t="shared" si="19"/>
        <v/>
      </c>
      <c r="AX10" s="49" t="str">
        <f t="shared" si="19"/>
        <v/>
      </c>
      <c r="AY10" s="49" t="str">
        <f t="shared" si="19"/>
        <v/>
      </c>
      <c r="AZ10" s="49" t="str">
        <f t="shared" si="19"/>
        <v/>
      </c>
      <c r="BA10" s="49" t="str">
        <f t="shared" si="19"/>
        <v/>
      </c>
      <c r="BB10" s="49" t="str">
        <f t="shared" si="19"/>
        <v/>
      </c>
      <c r="BC10" s="49" t="str">
        <f t="shared" si="19"/>
        <v/>
      </c>
      <c r="BD10" s="49" t="str">
        <f t="shared" si="19"/>
        <v/>
      </c>
      <c r="BE10" s="49" t="str">
        <f t="shared" si="19"/>
        <v/>
      </c>
      <c r="BF10" s="49" t="str">
        <f t="shared" si="19"/>
        <v/>
      </c>
      <c r="BG10" s="49" t="str">
        <f t="shared" si="19"/>
        <v/>
      </c>
      <c r="BH10" s="49" t="str">
        <f t="shared" si="19"/>
        <v/>
      </c>
      <c r="BI10" s="49" t="str">
        <f t="shared" si="19"/>
        <v/>
      </c>
      <c r="BJ10" s="49" t="str">
        <f t="shared" si="19"/>
        <v/>
      </c>
      <c r="BK10" s="49" t="str">
        <f t="shared" si="19"/>
        <v/>
      </c>
      <c r="BL10" s="49" t="str">
        <f t="shared" si="19"/>
        <v/>
      </c>
      <c r="BM10" s="49" t="str">
        <f t="shared" si="19"/>
        <v/>
      </c>
      <c r="BN10" s="49" t="str">
        <f t="shared" si="19"/>
        <v/>
      </c>
      <c r="BO10" s="49" t="str">
        <f t="shared" si="19"/>
        <v/>
      </c>
      <c r="BP10" s="49" t="str">
        <f t="shared" si="19"/>
        <v/>
      </c>
      <c r="BQ10" s="49" t="str">
        <f t="shared" si="19"/>
        <v/>
      </c>
      <c r="BR10" s="49" t="str">
        <f t="shared" si="19"/>
        <v/>
      </c>
      <c r="BS10" s="49" t="str">
        <f t="shared" si="19"/>
        <v/>
      </c>
      <c r="BT10" s="49" t="str">
        <f t="shared" si="19"/>
        <v/>
      </c>
      <c r="BU10" s="49" t="str">
        <f t="shared" si="19"/>
        <v/>
      </c>
      <c r="BV10" s="49" t="str">
        <f t="shared" si="19"/>
        <v/>
      </c>
      <c r="BW10" s="49" t="str">
        <f t="shared" si="19"/>
        <v/>
      </c>
      <c r="BX10" s="49" t="str">
        <f t="shared" si="19"/>
        <v/>
      </c>
      <c r="BY10" s="49" t="str">
        <f t="shared" si="19"/>
        <v/>
      </c>
      <c r="BZ10" s="49" t="str">
        <f t="shared" si="19"/>
        <v/>
      </c>
      <c r="CA10" s="49" t="str">
        <f t="shared" si="19"/>
        <v/>
      </c>
      <c r="CB10" s="49" t="str">
        <f t="shared" si="19"/>
        <v/>
      </c>
      <c r="CC10" s="49" t="str">
        <f t="shared" si="19"/>
        <v/>
      </c>
      <c r="CD10" s="49" t="str">
        <f t="shared" si="19"/>
        <v/>
      </c>
      <c r="CE10" s="49" t="str">
        <f t="shared" si="19"/>
        <v/>
      </c>
      <c r="CF10" s="49" t="str">
        <f t="shared" si="19"/>
        <v/>
      </c>
      <c r="CG10" s="49" t="str">
        <f t="shared" si="19"/>
        <v/>
      </c>
      <c r="CH10" s="49" t="str">
        <f t="shared" si="19"/>
        <v/>
      </c>
      <c r="CI10" s="49" t="str">
        <f t="shared" si="19"/>
        <v/>
      </c>
      <c r="CJ10" s="49" t="str">
        <f t="shared" si="19"/>
        <v/>
      </c>
      <c r="CK10" s="49" t="str">
        <f t="shared" si="19"/>
        <v/>
      </c>
      <c r="CL10" s="49" t="str">
        <f t="shared" si="19"/>
        <v/>
      </c>
      <c r="CM10" s="49" t="str">
        <f t="shared" si="19"/>
        <v/>
      </c>
      <c r="CN10" s="49" t="str">
        <f t="shared" si="19"/>
        <v/>
      </c>
      <c r="CO10" s="49" t="str">
        <f t="shared" si="19"/>
        <v/>
      </c>
      <c r="CP10" s="49" t="str">
        <f t="shared" si="19"/>
        <v/>
      </c>
      <c r="CQ10" s="49" t="str">
        <f t="shared" si="19"/>
        <v/>
      </c>
      <c r="CR10" s="49" t="str">
        <f t="shared" si="19"/>
        <v/>
      </c>
      <c r="CS10" s="49" t="str">
        <f t="shared" si="19"/>
        <v/>
      </c>
      <c r="CT10" s="49" t="str">
        <f t="shared" si="19"/>
        <v/>
      </c>
      <c r="CU10" s="49" t="str">
        <f t="shared" si="19"/>
        <v/>
      </c>
      <c r="CV10" s="49" t="str">
        <f t="shared" si="19"/>
        <v/>
      </c>
      <c r="CW10" s="49" t="str">
        <f t="shared" si="19"/>
        <v/>
      </c>
      <c r="CX10" s="49" t="str">
        <f t="shared" si="19"/>
        <v/>
      </c>
      <c r="CY10" s="49" t="str">
        <f t="shared" si="19"/>
        <v/>
      </c>
      <c r="CZ10" s="49" t="str">
        <f t="shared" si="19"/>
        <v/>
      </c>
      <c r="DA10" s="49" t="str">
        <f t="shared" si="19"/>
        <v/>
      </c>
      <c r="DB10" s="49" t="str">
        <f t="shared" si="19"/>
        <v/>
      </c>
      <c r="DC10" s="49" t="str">
        <f t="shared" si="19"/>
        <v/>
      </c>
      <c r="DD10" s="49" t="str">
        <f t="shared" si="19"/>
        <v/>
      </c>
      <c r="DE10" s="49" t="str">
        <f t="shared" si="19"/>
        <v/>
      </c>
      <c r="DF10" s="49" t="str">
        <f t="shared" si="19"/>
        <v/>
      </c>
      <c r="DG10" s="49" t="str">
        <f t="shared" si="19"/>
        <v/>
      </c>
      <c r="DH10" s="49" t="str">
        <f t="shared" si="19"/>
        <v/>
      </c>
      <c r="DI10" s="49" t="str">
        <f t="shared" si="19"/>
        <v/>
      </c>
      <c r="DJ10" s="49" t="str">
        <f t="shared" si="19"/>
        <v/>
      </c>
    </row>
    <row r="11" spans="1:114" ht="15.75" customHeight="1" x14ac:dyDescent="0.55000000000000004">
      <c r="A11" s="41" t="str">
        <f>MASANIELLO!C13</f>
        <v>W</v>
      </c>
      <c r="B11" s="41">
        <f t="shared" si="2"/>
        <v>1</v>
      </c>
      <c r="C11" s="42">
        <f t="shared" si="3"/>
        <v>17.535777530516864</v>
      </c>
      <c r="D11" s="42">
        <f t="shared" si="4"/>
        <v>22.79651078967192</v>
      </c>
      <c r="E11" s="42">
        <f t="shared" si="5"/>
        <v>0</v>
      </c>
      <c r="F11" s="42">
        <f t="shared" si="6"/>
        <v>71.357125489564794</v>
      </c>
      <c r="G11" s="50">
        <f t="shared" si="7"/>
        <v>71.357125489564794</v>
      </c>
      <c r="H11" s="41">
        <f t="shared" si="8"/>
        <v>0</v>
      </c>
      <c r="I11" s="41">
        <f t="shared" si="9"/>
        <v>0</v>
      </c>
      <c r="J11" s="45">
        <f t="shared" si="10"/>
        <v>0.44444444444444442</v>
      </c>
      <c r="M11" s="48">
        <f t="shared" si="11"/>
        <v>9</v>
      </c>
      <c r="N11" s="49" t="e">
        <f t="shared" ref="N11:DJ11" si="20">IF(N$1&gt;$L$2,   "",   IF(N$1=$L$2,  1,  IF($L$2-N$1=$L$1-$M11, $L$3^($L$1-$M11), ($L$3*N12*O12/(N12+($L$3-1)*O12) ))))</f>
        <v>#DIV/0!</v>
      </c>
      <c r="O11" s="49" t="e">
        <f t="shared" si="20"/>
        <v>#DIV/0!</v>
      </c>
      <c r="P11" s="49" t="e">
        <f t="shared" si="20"/>
        <v>#DIV/0!</v>
      </c>
      <c r="Q11" s="49">
        <f t="shared" si="20"/>
        <v>2.2999999999999998</v>
      </c>
      <c r="R11" s="49">
        <f t="shared" si="20"/>
        <v>1</v>
      </c>
      <c r="S11" s="49" t="str">
        <f t="shared" si="20"/>
        <v/>
      </c>
      <c r="T11" s="49" t="str">
        <f t="shared" si="20"/>
        <v/>
      </c>
      <c r="U11" s="49" t="str">
        <f t="shared" si="20"/>
        <v/>
      </c>
      <c r="V11" s="49" t="str">
        <f t="shared" si="20"/>
        <v/>
      </c>
      <c r="W11" s="49" t="str">
        <f t="shared" si="20"/>
        <v/>
      </c>
      <c r="X11" s="49" t="str">
        <f t="shared" si="20"/>
        <v/>
      </c>
      <c r="Y11" s="49" t="str">
        <f t="shared" si="20"/>
        <v/>
      </c>
      <c r="Z11" s="49" t="str">
        <f t="shared" si="20"/>
        <v/>
      </c>
      <c r="AA11" s="49" t="str">
        <f t="shared" si="20"/>
        <v/>
      </c>
      <c r="AB11" s="49" t="str">
        <f t="shared" si="20"/>
        <v/>
      </c>
      <c r="AC11" s="49" t="str">
        <f t="shared" si="20"/>
        <v/>
      </c>
      <c r="AD11" s="49" t="str">
        <f t="shared" si="20"/>
        <v/>
      </c>
      <c r="AE11" s="49" t="str">
        <f t="shared" si="20"/>
        <v/>
      </c>
      <c r="AF11" s="49" t="str">
        <f t="shared" si="20"/>
        <v/>
      </c>
      <c r="AG11" s="49" t="str">
        <f t="shared" si="20"/>
        <v/>
      </c>
      <c r="AH11" s="49" t="str">
        <f t="shared" si="20"/>
        <v/>
      </c>
      <c r="AI11" s="49" t="str">
        <f t="shared" si="20"/>
        <v/>
      </c>
      <c r="AJ11" s="49" t="str">
        <f t="shared" si="20"/>
        <v/>
      </c>
      <c r="AK11" s="49" t="str">
        <f t="shared" si="20"/>
        <v/>
      </c>
      <c r="AL11" s="49" t="str">
        <f t="shared" si="20"/>
        <v/>
      </c>
      <c r="AM11" s="49" t="str">
        <f t="shared" si="20"/>
        <v/>
      </c>
      <c r="AN11" s="49" t="str">
        <f t="shared" si="20"/>
        <v/>
      </c>
      <c r="AO11" s="49" t="str">
        <f t="shared" si="20"/>
        <v/>
      </c>
      <c r="AP11" s="49" t="str">
        <f t="shared" si="20"/>
        <v/>
      </c>
      <c r="AQ11" s="49" t="str">
        <f t="shared" si="20"/>
        <v/>
      </c>
      <c r="AR11" s="49" t="str">
        <f t="shared" si="20"/>
        <v/>
      </c>
      <c r="AS11" s="49" t="str">
        <f t="shared" si="20"/>
        <v/>
      </c>
      <c r="AT11" s="49" t="str">
        <f t="shared" si="20"/>
        <v/>
      </c>
      <c r="AU11" s="49" t="str">
        <f t="shared" si="20"/>
        <v/>
      </c>
      <c r="AV11" s="49" t="str">
        <f t="shared" si="20"/>
        <v/>
      </c>
      <c r="AW11" s="49" t="str">
        <f t="shared" si="20"/>
        <v/>
      </c>
      <c r="AX11" s="49" t="str">
        <f t="shared" si="20"/>
        <v/>
      </c>
      <c r="AY11" s="49" t="str">
        <f t="shared" si="20"/>
        <v/>
      </c>
      <c r="AZ11" s="49" t="str">
        <f t="shared" si="20"/>
        <v/>
      </c>
      <c r="BA11" s="49" t="str">
        <f t="shared" si="20"/>
        <v/>
      </c>
      <c r="BB11" s="49" t="str">
        <f t="shared" si="20"/>
        <v/>
      </c>
      <c r="BC11" s="49" t="str">
        <f t="shared" si="20"/>
        <v/>
      </c>
      <c r="BD11" s="49" t="str">
        <f t="shared" si="20"/>
        <v/>
      </c>
      <c r="BE11" s="49" t="str">
        <f t="shared" si="20"/>
        <v/>
      </c>
      <c r="BF11" s="49" t="str">
        <f t="shared" si="20"/>
        <v/>
      </c>
      <c r="BG11" s="49" t="str">
        <f t="shared" si="20"/>
        <v/>
      </c>
      <c r="BH11" s="49" t="str">
        <f t="shared" si="20"/>
        <v/>
      </c>
      <c r="BI11" s="49" t="str">
        <f t="shared" si="20"/>
        <v/>
      </c>
      <c r="BJ11" s="49" t="str">
        <f t="shared" si="20"/>
        <v/>
      </c>
      <c r="BK11" s="49" t="str">
        <f t="shared" si="20"/>
        <v/>
      </c>
      <c r="BL11" s="49" t="str">
        <f t="shared" si="20"/>
        <v/>
      </c>
      <c r="BM11" s="49" t="str">
        <f t="shared" si="20"/>
        <v/>
      </c>
      <c r="BN11" s="49" t="str">
        <f t="shared" si="20"/>
        <v/>
      </c>
      <c r="BO11" s="49" t="str">
        <f t="shared" si="20"/>
        <v/>
      </c>
      <c r="BP11" s="49" t="str">
        <f t="shared" si="20"/>
        <v/>
      </c>
      <c r="BQ11" s="49" t="str">
        <f t="shared" si="20"/>
        <v/>
      </c>
      <c r="BR11" s="49" t="str">
        <f t="shared" si="20"/>
        <v/>
      </c>
      <c r="BS11" s="49" t="str">
        <f t="shared" si="20"/>
        <v/>
      </c>
      <c r="BT11" s="49" t="str">
        <f t="shared" si="20"/>
        <v/>
      </c>
      <c r="BU11" s="49" t="str">
        <f t="shared" si="20"/>
        <v/>
      </c>
      <c r="BV11" s="49" t="str">
        <f t="shared" si="20"/>
        <v/>
      </c>
      <c r="BW11" s="49" t="str">
        <f t="shared" si="20"/>
        <v/>
      </c>
      <c r="BX11" s="49" t="str">
        <f t="shared" si="20"/>
        <v/>
      </c>
      <c r="BY11" s="49" t="str">
        <f t="shared" si="20"/>
        <v/>
      </c>
      <c r="BZ11" s="49" t="str">
        <f t="shared" si="20"/>
        <v/>
      </c>
      <c r="CA11" s="49" t="str">
        <f t="shared" si="20"/>
        <v/>
      </c>
      <c r="CB11" s="49" t="str">
        <f t="shared" si="20"/>
        <v/>
      </c>
      <c r="CC11" s="49" t="str">
        <f t="shared" si="20"/>
        <v/>
      </c>
      <c r="CD11" s="49" t="str">
        <f t="shared" si="20"/>
        <v/>
      </c>
      <c r="CE11" s="49" t="str">
        <f t="shared" si="20"/>
        <v/>
      </c>
      <c r="CF11" s="49" t="str">
        <f t="shared" si="20"/>
        <v/>
      </c>
      <c r="CG11" s="49" t="str">
        <f t="shared" si="20"/>
        <v/>
      </c>
      <c r="CH11" s="49" t="str">
        <f t="shared" si="20"/>
        <v/>
      </c>
      <c r="CI11" s="49" t="str">
        <f t="shared" si="20"/>
        <v/>
      </c>
      <c r="CJ11" s="49" t="str">
        <f t="shared" si="20"/>
        <v/>
      </c>
      <c r="CK11" s="49" t="str">
        <f t="shared" si="20"/>
        <v/>
      </c>
      <c r="CL11" s="49" t="str">
        <f t="shared" si="20"/>
        <v/>
      </c>
      <c r="CM11" s="49" t="str">
        <f t="shared" si="20"/>
        <v/>
      </c>
      <c r="CN11" s="49" t="str">
        <f t="shared" si="20"/>
        <v/>
      </c>
      <c r="CO11" s="49" t="str">
        <f t="shared" si="20"/>
        <v/>
      </c>
      <c r="CP11" s="49" t="str">
        <f t="shared" si="20"/>
        <v/>
      </c>
      <c r="CQ11" s="49" t="str">
        <f t="shared" si="20"/>
        <v/>
      </c>
      <c r="CR11" s="49" t="str">
        <f t="shared" si="20"/>
        <v/>
      </c>
      <c r="CS11" s="49" t="str">
        <f t="shared" si="20"/>
        <v/>
      </c>
      <c r="CT11" s="49" t="str">
        <f t="shared" si="20"/>
        <v/>
      </c>
      <c r="CU11" s="49" t="str">
        <f t="shared" si="20"/>
        <v/>
      </c>
      <c r="CV11" s="49" t="str">
        <f t="shared" si="20"/>
        <v/>
      </c>
      <c r="CW11" s="49" t="str">
        <f t="shared" si="20"/>
        <v/>
      </c>
      <c r="CX11" s="49" t="str">
        <f t="shared" si="20"/>
        <v/>
      </c>
      <c r="CY11" s="49" t="str">
        <f t="shared" si="20"/>
        <v/>
      </c>
      <c r="CZ11" s="49" t="str">
        <f t="shared" si="20"/>
        <v/>
      </c>
      <c r="DA11" s="49" t="str">
        <f t="shared" si="20"/>
        <v/>
      </c>
      <c r="DB11" s="49" t="str">
        <f t="shared" si="20"/>
        <v/>
      </c>
      <c r="DC11" s="49" t="str">
        <f t="shared" si="20"/>
        <v/>
      </c>
      <c r="DD11" s="49" t="str">
        <f t="shared" si="20"/>
        <v/>
      </c>
      <c r="DE11" s="49" t="str">
        <f t="shared" si="20"/>
        <v/>
      </c>
      <c r="DF11" s="49" t="str">
        <f t="shared" si="20"/>
        <v/>
      </c>
      <c r="DG11" s="49" t="str">
        <f t="shared" si="20"/>
        <v/>
      </c>
      <c r="DH11" s="49" t="str">
        <f t="shared" si="20"/>
        <v/>
      </c>
      <c r="DI11" s="49" t="str">
        <f t="shared" si="20"/>
        <v/>
      </c>
      <c r="DJ11" s="49" t="str">
        <f t="shared" si="20"/>
        <v/>
      </c>
    </row>
    <row r="12" spans="1:114" ht="15.75" customHeight="1" x14ac:dyDescent="0.55000000000000004">
      <c r="A12" s="41" t="str">
        <f>MASANIELLO!C14</f>
        <v>W</v>
      </c>
      <c r="B12" s="41">
        <f t="shared" si="2"/>
        <v>1</v>
      </c>
      <c r="C12" s="42">
        <f t="shared" si="3"/>
        <v>9.9670291651922138</v>
      </c>
      <c r="D12" s="42">
        <f t="shared" si="4"/>
        <v>12.957137914749877</v>
      </c>
      <c r="E12" s="42">
        <f t="shared" si="5"/>
        <v>0</v>
      </c>
      <c r="F12" s="42">
        <f t="shared" si="6"/>
        <v>84.314263404314673</v>
      </c>
      <c r="G12" s="50">
        <f t="shared" si="7"/>
        <v>84.314263404314673</v>
      </c>
      <c r="H12" s="41">
        <f t="shared" si="8"/>
        <v>0</v>
      </c>
      <c r="I12" s="41">
        <f t="shared" si="9"/>
        <v>1</v>
      </c>
      <c r="J12" s="45">
        <f t="shared" si="10"/>
        <v>1</v>
      </c>
      <c r="M12" s="48" t="b">
        <f t="shared" si="11"/>
        <v>0</v>
      </c>
      <c r="N12" s="49" t="e">
        <f t="shared" ref="N12:DJ12" si="21">IF(N$1&gt;$L$2,   "",   IF(N$1=$L$2,  1,  IF($L$2-N$1=$L$1-$M12, $L$3^($L$1-$M12), ($L$3*N13*O13/(N13+($L$3-1)*O13) ))))</f>
        <v>#DIV/0!</v>
      </c>
      <c r="O12" s="49" t="e">
        <f t="shared" si="21"/>
        <v>#DIV/0!</v>
      </c>
      <c r="P12" s="49" t="e">
        <f t="shared" si="21"/>
        <v>#DIV/0!</v>
      </c>
      <c r="Q12" s="49" t="e">
        <f t="shared" si="21"/>
        <v>#DIV/0!</v>
      </c>
      <c r="R12" s="49">
        <f t="shared" si="21"/>
        <v>1</v>
      </c>
      <c r="S12" s="49" t="str">
        <f t="shared" si="21"/>
        <v/>
      </c>
      <c r="T12" s="49" t="str">
        <f t="shared" si="21"/>
        <v/>
      </c>
      <c r="U12" s="49" t="str">
        <f t="shared" si="21"/>
        <v/>
      </c>
      <c r="V12" s="49" t="str">
        <f t="shared" si="21"/>
        <v/>
      </c>
      <c r="W12" s="49" t="str">
        <f t="shared" si="21"/>
        <v/>
      </c>
      <c r="X12" s="49" t="str">
        <f t="shared" si="21"/>
        <v/>
      </c>
      <c r="Y12" s="49" t="str">
        <f t="shared" si="21"/>
        <v/>
      </c>
      <c r="Z12" s="49" t="str">
        <f t="shared" si="21"/>
        <v/>
      </c>
      <c r="AA12" s="49" t="str">
        <f t="shared" si="21"/>
        <v/>
      </c>
      <c r="AB12" s="49" t="str">
        <f t="shared" si="21"/>
        <v/>
      </c>
      <c r="AC12" s="49" t="str">
        <f t="shared" si="21"/>
        <v/>
      </c>
      <c r="AD12" s="49" t="str">
        <f t="shared" si="21"/>
        <v/>
      </c>
      <c r="AE12" s="49" t="str">
        <f t="shared" si="21"/>
        <v/>
      </c>
      <c r="AF12" s="49" t="str">
        <f t="shared" si="21"/>
        <v/>
      </c>
      <c r="AG12" s="49" t="str">
        <f t="shared" si="21"/>
        <v/>
      </c>
      <c r="AH12" s="49" t="str">
        <f t="shared" si="21"/>
        <v/>
      </c>
      <c r="AI12" s="49" t="str">
        <f t="shared" si="21"/>
        <v/>
      </c>
      <c r="AJ12" s="49" t="str">
        <f t="shared" si="21"/>
        <v/>
      </c>
      <c r="AK12" s="49" t="str">
        <f t="shared" si="21"/>
        <v/>
      </c>
      <c r="AL12" s="49" t="str">
        <f t="shared" si="21"/>
        <v/>
      </c>
      <c r="AM12" s="49" t="str">
        <f t="shared" si="21"/>
        <v/>
      </c>
      <c r="AN12" s="49" t="str">
        <f t="shared" si="21"/>
        <v/>
      </c>
      <c r="AO12" s="49" t="str">
        <f t="shared" si="21"/>
        <v/>
      </c>
      <c r="AP12" s="49" t="str">
        <f t="shared" si="21"/>
        <v/>
      </c>
      <c r="AQ12" s="49" t="str">
        <f t="shared" si="21"/>
        <v/>
      </c>
      <c r="AR12" s="49" t="str">
        <f t="shared" si="21"/>
        <v/>
      </c>
      <c r="AS12" s="49" t="str">
        <f t="shared" si="21"/>
        <v/>
      </c>
      <c r="AT12" s="49" t="str">
        <f t="shared" si="21"/>
        <v/>
      </c>
      <c r="AU12" s="49" t="str">
        <f t="shared" si="21"/>
        <v/>
      </c>
      <c r="AV12" s="49" t="str">
        <f t="shared" si="21"/>
        <v/>
      </c>
      <c r="AW12" s="49" t="str">
        <f t="shared" si="21"/>
        <v/>
      </c>
      <c r="AX12" s="49" t="str">
        <f t="shared" si="21"/>
        <v/>
      </c>
      <c r="AY12" s="49" t="str">
        <f t="shared" si="21"/>
        <v/>
      </c>
      <c r="AZ12" s="49" t="str">
        <f t="shared" si="21"/>
        <v/>
      </c>
      <c r="BA12" s="49" t="str">
        <f t="shared" si="21"/>
        <v/>
      </c>
      <c r="BB12" s="49" t="str">
        <f t="shared" si="21"/>
        <v/>
      </c>
      <c r="BC12" s="49" t="str">
        <f t="shared" si="21"/>
        <v/>
      </c>
      <c r="BD12" s="49" t="str">
        <f t="shared" si="21"/>
        <v/>
      </c>
      <c r="BE12" s="49" t="str">
        <f t="shared" si="21"/>
        <v/>
      </c>
      <c r="BF12" s="49" t="str">
        <f t="shared" si="21"/>
        <v/>
      </c>
      <c r="BG12" s="49" t="str">
        <f t="shared" si="21"/>
        <v/>
      </c>
      <c r="BH12" s="49" t="str">
        <f t="shared" si="21"/>
        <v/>
      </c>
      <c r="BI12" s="49" t="str">
        <f t="shared" si="21"/>
        <v/>
      </c>
      <c r="BJ12" s="49" t="str">
        <f t="shared" si="21"/>
        <v/>
      </c>
      <c r="BK12" s="49" t="str">
        <f t="shared" si="21"/>
        <v/>
      </c>
      <c r="BL12" s="49" t="str">
        <f t="shared" si="21"/>
        <v/>
      </c>
      <c r="BM12" s="49" t="str">
        <f t="shared" si="21"/>
        <v/>
      </c>
      <c r="BN12" s="49" t="str">
        <f t="shared" si="21"/>
        <v/>
      </c>
      <c r="BO12" s="49" t="str">
        <f t="shared" si="21"/>
        <v/>
      </c>
      <c r="BP12" s="49" t="str">
        <f t="shared" si="21"/>
        <v/>
      </c>
      <c r="BQ12" s="49" t="str">
        <f t="shared" si="21"/>
        <v/>
      </c>
      <c r="BR12" s="49" t="str">
        <f t="shared" si="21"/>
        <v/>
      </c>
      <c r="BS12" s="49" t="str">
        <f t="shared" si="21"/>
        <v/>
      </c>
      <c r="BT12" s="49" t="str">
        <f t="shared" si="21"/>
        <v/>
      </c>
      <c r="BU12" s="49" t="str">
        <f t="shared" si="21"/>
        <v/>
      </c>
      <c r="BV12" s="49" t="str">
        <f t="shared" si="21"/>
        <v/>
      </c>
      <c r="BW12" s="49" t="str">
        <f t="shared" si="21"/>
        <v/>
      </c>
      <c r="BX12" s="49" t="str">
        <f t="shared" si="21"/>
        <v/>
      </c>
      <c r="BY12" s="49" t="str">
        <f t="shared" si="21"/>
        <v/>
      </c>
      <c r="BZ12" s="49" t="str">
        <f t="shared" si="21"/>
        <v/>
      </c>
      <c r="CA12" s="49" t="str">
        <f t="shared" si="21"/>
        <v/>
      </c>
      <c r="CB12" s="49" t="str">
        <f t="shared" si="21"/>
        <v/>
      </c>
      <c r="CC12" s="49" t="str">
        <f t="shared" si="21"/>
        <v/>
      </c>
      <c r="CD12" s="49" t="str">
        <f t="shared" si="21"/>
        <v/>
      </c>
      <c r="CE12" s="49" t="str">
        <f t="shared" si="21"/>
        <v/>
      </c>
      <c r="CF12" s="49" t="str">
        <f t="shared" si="21"/>
        <v/>
      </c>
      <c r="CG12" s="49" t="str">
        <f t="shared" si="21"/>
        <v/>
      </c>
      <c r="CH12" s="49" t="str">
        <f t="shared" si="21"/>
        <v/>
      </c>
      <c r="CI12" s="49" t="str">
        <f t="shared" si="21"/>
        <v/>
      </c>
      <c r="CJ12" s="49" t="str">
        <f t="shared" si="21"/>
        <v/>
      </c>
      <c r="CK12" s="49" t="str">
        <f t="shared" si="21"/>
        <v/>
      </c>
      <c r="CL12" s="49" t="str">
        <f t="shared" si="21"/>
        <v/>
      </c>
      <c r="CM12" s="49" t="str">
        <f t="shared" si="21"/>
        <v/>
      </c>
      <c r="CN12" s="49" t="str">
        <f t="shared" si="21"/>
        <v/>
      </c>
      <c r="CO12" s="49" t="str">
        <f t="shared" si="21"/>
        <v/>
      </c>
      <c r="CP12" s="49" t="str">
        <f t="shared" si="21"/>
        <v/>
      </c>
      <c r="CQ12" s="49" t="str">
        <f t="shared" si="21"/>
        <v/>
      </c>
      <c r="CR12" s="49" t="str">
        <f t="shared" si="21"/>
        <v/>
      </c>
      <c r="CS12" s="49" t="str">
        <f t="shared" si="21"/>
        <v/>
      </c>
      <c r="CT12" s="49" t="str">
        <f t="shared" si="21"/>
        <v/>
      </c>
      <c r="CU12" s="49" t="str">
        <f t="shared" si="21"/>
        <v/>
      </c>
      <c r="CV12" s="49" t="str">
        <f t="shared" si="21"/>
        <v/>
      </c>
      <c r="CW12" s="49" t="str">
        <f t="shared" si="21"/>
        <v/>
      </c>
      <c r="CX12" s="49" t="str">
        <f t="shared" si="21"/>
        <v/>
      </c>
      <c r="CY12" s="49" t="str">
        <f t="shared" si="21"/>
        <v/>
      </c>
      <c r="CZ12" s="49" t="str">
        <f t="shared" si="21"/>
        <v/>
      </c>
      <c r="DA12" s="49" t="str">
        <f t="shared" si="21"/>
        <v/>
      </c>
      <c r="DB12" s="49" t="str">
        <f t="shared" si="21"/>
        <v/>
      </c>
      <c r="DC12" s="49" t="str">
        <f t="shared" si="21"/>
        <v/>
      </c>
      <c r="DD12" s="49" t="str">
        <f t="shared" si="21"/>
        <v/>
      </c>
      <c r="DE12" s="49" t="str">
        <f t="shared" si="21"/>
        <v/>
      </c>
      <c r="DF12" s="49" t="str">
        <f t="shared" si="21"/>
        <v/>
      </c>
      <c r="DG12" s="49" t="str">
        <f t="shared" si="21"/>
        <v/>
      </c>
      <c r="DH12" s="49" t="str">
        <f t="shared" si="21"/>
        <v/>
      </c>
      <c r="DI12" s="49" t="str">
        <f t="shared" si="21"/>
        <v/>
      </c>
      <c r="DJ12" s="49" t="str">
        <f t="shared" si="21"/>
        <v/>
      </c>
    </row>
    <row r="13" spans="1:114" ht="15.75" customHeight="1" x14ac:dyDescent="0.55000000000000004">
      <c r="A13" s="41" t="str">
        <f>MASANIELLO!C15</f>
        <v>W</v>
      </c>
      <c r="B13" s="41">
        <f t="shared" si="2"/>
        <v>1</v>
      </c>
      <c r="C13" s="42">
        <f t="shared" si="3"/>
        <v>7.6413890266473574</v>
      </c>
      <c r="D13" s="42">
        <f t="shared" si="4"/>
        <v>9.9338057346415631</v>
      </c>
      <c r="E13" s="42">
        <f t="shared" si="5"/>
        <v>0</v>
      </c>
      <c r="F13" s="42">
        <f t="shared" si="6"/>
        <v>94.248069138956239</v>
      </c>
      <c r="G13" s="50">
        <f t="shared" si="7"/>
        <v>94.248069138956239</v>
      </c>
      <c r="H13" s="41">
        <f t="shared" si="8"/>
        <v>0</v>
      </c>
      <c r="I13" s="41">
        <f t="shared" si="9"/>
        <v>2</v>
      </c>
      <c r="J13" s="45">
        <f t="shared" si="10"/>
        <v>1</v>
      </c>
      <c r="M13" s="48" t="b">
        <f t="shared" si="11"/>
        <v>0</v>
      </c>
      <c r="N13" s="49" t="e">
        <f t="shared" ref="N13:DJ13" si="22">IF(N$1&gt;$L$2,   "",   IF(N$1=$L$2,  1,  IF($L$2-N$1=$L$1-$M13, $L$3^($L$1-$M13), ($L$3*N14*O14/(N14+($L$3-1)*O14) ))))</f>
        <v>#DIV/0!</v>
      </c>
      <c r="O13" s="49" t="e">
        <f t="shared" si="22"/>
        <v>#DIV/0!</v>
      </c>
      <c r="P13" s="49" t="e">
        <f t="shared" si="22"/>
        <v>#DIV/0!</v>
      </c>
      <c r="Q13" s="49" t="e">
        <f t="shared" si="22"/>
        <v>#DIV/0!</v>
      </c>
      <c r="R13" s="49">
        <f t="shared" si="22"/>
        <v>1</v>
      </c>
      <c r="S13" s="49" t="str">
        <f t="shared" si="22"/>
        <v/>
      </c>
      <c r="T13" s="49" t="str">
        <f t="shared" si="22"/>
        <v/>
      </c>
      <c r="U13" s="49" t="str">
        <f t="shared" si="22"/>
        <v/>
      </c>
      <c r="V13" s="49" t="str">
        <f t="shared" si="22"/>
        <v/>
      </c>
      <c r="W13" s="49" t="str">
        <f t="shared" si="22"/>
        <v/>
      </c>
      <c r="X13" s="49" t="str">
        <f t="shared" si="22"/>
        <v/>
      </c>
      <c r="Y13" s="49" t="str">
        <f t="shared" si="22"/>
        <v/>
      </c>
      <c r="Z13" s="49" t="str">
        <f t="shared" si="22"/>
        <v/>
      </c>
      <c r="AA13" s="49" t="str">
        <f t="shared" si="22"/>
        <v/>
      </c>
      <c r="AB13" s="49" t="str">
        <f t="shared" si="22"/>
        <v/>
      </c>
      <c r="AC13" s="49" t="str">
        <f t="shared" si="22"/>
        <v/>
      </c>
      <c r="AD13" s="49" t="str">
        <f t="shared" si="22"/>
        <v/>
      </c>
      <c r="AE13" s="49" t="str">
        <f t="shared" si="22"/>
        <v/>
      </c>
      <c r="AF13" s="49" t="str">
        <f t="shared" si="22"/>
        <v/>
      </c>
      <c r="AG13" s="49" t="str">
        <f t="shared" si="22"/>
        <v/>
      </c>
      <c r="AH13" s="49" t="str">
        <f t="shared" si="22"/>
        <v/>
      </c>
      <c r="AI13" s="49" t="str">
        <f t="shared" si="22"/>
        <v/>
      </c>
      <c r="AJ13" s="49" t="str">
        <f t="shared" si="22"/>
        <v/>
      </c>
      <c r="AK13" s="49" t="str">
        <f t="shared" si="22"/>
        <v/>
      </c>
      <c r="AL13" s="49" t="str">
        <f t="shared" si="22"/>
        <v/>
      </c>
      <c r="AM13" s="49" t="str">
        <f t="shared" si="22"/>
        <v/>
      </c>
      <c r="AN13" s="49" t="str">
        <f t="shared" si="22"/>
        <v/>
      </c>
      <c r="AO13" s="49" t="str">
        <f t="shared" si="22"/>
        <v/>
      </c>
      <c r="AP13" s="49" t="str">
        <f t="shared" si="22"/>
        <v/>
      </c>
      <c r="AQ13" s="49" t="str">
        <f t="shared" si="22"/>
        <v/>
      </c>
      <c r="AR13" s="49" t="str">
        <f t="shared" si="22"/>
        <v/>
      </c>
      <c r="AS13" s="49" t="str">
        <f t="shared" si="22"/>
        <v/>
      </c>
      <c r="AT13" s="49" t="str">
        <f t="shared" si="22"/>
        <v/>
      </c>
      <c r="AU13" s="49" t="str">
        <f t="shared" si="22"/>
        <v/>
      </c>
      <c r="AV13" s="49" t="str">
        <f t="shared" si="22"/>
        <v/>
      </c>
      <c r="AW13" s="49" t="str">
        <f t="shared" si="22"/>
        <v/>
      </c>
      <c r="AX13" s="49" t="str">
        <f t="shared" si="22"/>
        <v/>
      </c>
      <c r="AY13" s="49" t="str">
        <f t="shared" si="22"/>
        <v/>
      </c>
      <c r="AZ13" s="49" t="str">
        <f t="shared" si="22"/>
        <v/>
      </c>
      <c r="BA13" s="49" t="str">
        <f t="shared" si="22"/>
        <v/>
      </c>
      <c r="BB13" s="49" t="str">
        <f t="shared" si="22"/>
        <v/>
      </c>
      <c r="BC13" s="49" t="str">
        <f t="shared" si="22"/>
        <v/>
      </c>
      <c r="BD13" s="49" t="str">
        <f t="shared" si="22"/>
        <v/>
      </c>
      <c r="BE13" s="49" t="str">
        <f t="shared" si="22"/>
        <v/>
      </c>
      <c r="BF13" s="49" t="str">
        <f t="shared" si="22"/>
        <v/>
      </c>
      <c r="BG13" s="49" t="str">
        <f t="shared" si="22"/>
        <v/>
      </c>
      <c r="BH13" s="49" t="str">
        <f t="shared" si="22"/>
        <v/>
      </c>
      <c r="BI13" s="49" t="str">
        <f t="shared" si="22"/>
        <v/>
      </c>
      <c r="BJ13" s="49" t="str">
        <f t="shared" si="22"/>
        <v/>
      </c>
      <c r="BK13" s="49" t="str">
        <f t="shared" si="22"/>
        <v/>
      </c>
      <c r="BL13" s="49" t="str">
        <f t="shared" si="22"/>
        <v/>
      </c>
      <c r="BM13" s="49" t="str">
        <f t="shared" si="22"/>
        <v/>
      </c>
      <c r="BN13" s="49" t="str">
        <f t="shared" si="22"/>
        <v/>
      </c>
      <c r="BO13" s="49" t="str">
        <f t="shared" si="22"/>
        <v/>
      </c>
      <c r="BP13" s="49" t="str">
        <f t="shared" si="22"/>
        <v/>
      </c>
      <c r="BQ13" s="49" t="str">
        <f t="shared" si="22"/>
        <v/>
      </c>
      <c r="BR13" s="49" t="str">
        <f t="shared" si="22"/>
        <v/>
      </c>
      <c r="BS13" s="49" t="str">
        <f t="shared" si="22"/>
        <v/>
      </c>
      <c r="BT13" s="49" t="str">
        <f t="shared" si="22"/>
        <v/>
      </c>
      <c r="BU13" s="49" t="str">
        <f t="shared" si="22"/>
        <v/>
      </c>
      <c r="BV13" s="49" t="str">
        <f t="shared" si="22"/>
        <v/>
      </c>
      <c r="BW13" s="49" t="str">
        <f t="shared" si="22"/>
        <v/>
      </c>
      <c r="BX13" s="49" t="str">
        <f t="shared" si="22"/>
        <v/>
      </c>
      <c r="BY13" s="49" t="str">
        <f t="shared" si="22"/>
        <v/>
      </c>
      <c r="BZ13" s="49" t="str">
        <f t="shared" si="22"/>
        <v/>
      </c>
      <c r="CA13" s="49" t="str">
        <f t="shared" si="22"/>
        <v/>
      </c>
      <c r="CB13" s="49" t="str">
        <f t="shared" si="22"/>
        <v/>
      </c>
      <c r="CC13" s="49" t="str">
        <f t="shared" si="22"/>
        <v/>
      </c>
      <c r="CD13" s="49" t="str">
        <f t="shared" si="22"/>
        <v/>
      </c>
      <c r="CE13" s="49" t="str">
        <f t="shared" si="22"/>
        <v/>
      </c>
      <c r="CF13" s="49" t="str">
        <f t="shared" si="22"/>
        <v/>
      </c>
      <c r="CG13" s="49" t="str">
        <f t="shared" si="22"/>
        <v/>
      </c>
      <c r="CH13" s="49" t="str">
        <f t="shared" si="22"/>
        <v/>
      </c>
      <c r="CI13" s="49" t="str">
        <f t="shared" si="22"/>
        <v/>
      </c>
      <c r="CJ13" s="49" t="str">
        <f t="shared" si="22"/>
        <v/>
      </c>
      <c r="CK13" s="49" t="str">
        <f t="shared" si="22"/>
        <v/>
      </c>
      <c r="CL13" s="49" t="str">
        <f t="shared" si="22"/>
        <v/>
      </c>
      <c r="CM13" s="49" t="str">
        <f t="shared" si="22"/>
        <v/>
      </c>
      <c r="CN13" s="49" t="str">
        <f t="shared" si="22"/>
        <v/>
      </c>
      <c r="CO13" s="49" t="str">
        <f t="shared" si="22"/>
        <v/>
      </c>
      <c r="CP13" s="49" t="str">
        <f t="shared" si="22"/>
        <v/>
      </c>
      <c r="CQ13" s="49" t="str">
        <f t="shared" si="22"/>
        <v/>
      </c>
      <c r="CR13" s="49" t="str">
        <f t="shared" si="22"/>
        <v/>
      </c>
      <c r="CS13" s="49" t="str">
        <f t="shared" si="22"/>
        <v/>
      </c>
      <c r="CT13" s="49" t="str">
        <f t="shared" si="22"/>
        <v/>
      </c>
      <c r="CU13" s="49" t="str">
        <f t="shared" si="22"/>
        <v/>
      </c>
      <c r="CV13" s="49" t="str">
        <f t="shared" si="22"/>
        <v/>
      </c>
      <c r="CW13" s="49" t="str">
        <f t="shared" si="22"/>
        <v/>
      </c>
      <c r="CX13" s="49" t="str">
        <f t="shared" si="22"/>
        <v/>
      </c>
      <c r="CY13" s="49" t="str">
        <f t="shared" si="22"/>
        <v/>
      </c>
      <c r="CZ13" s="49" t="str">
        <f t="shared" si="22"/>
        <v/>
      </c>
      <c r="DA13" s="49" t="str">
        <f t="shared" si="22"/>
        <v/>
      </c>
      <c r="DB13" s="49" t="str">
        <f t="shared" si="22"/>
        <v/>
      </c>
      <c r="DC13" s="49" t="str">
        <f t="shared" si="22"/>
        <v/>
      </c>
      <c r="DD13" s="49" t="str">
        <f t="shared" si="22"/>
        <v/>
      </c>
      <c r="DE13" s="49" t="str">
        <f t="shared" si="22"/>
        <v/>
      </c>
      <c r="DF13" s="49" t="str">
        <f t="shared" si="22"/>
        <v/>
      </c>
      <c r="DG13" s="49" t="str">
        <f t="shared" si="22"/>
        <v/>
      </c>
      <c r="DH13" s="49" t="str">
        <f t="shared" si="22"/>
        <v/>
      </c>
      <c r="DI13" s="49" t="str">
        <f t="shared" si="22"/>
        <v/>
      </c>
      <c r="DJ13" s="49" t="str">
        <f t="shared" si="22"/>
        <v/>
      </c>
    </row>
    <row r="14" spans="1:114" ht="15.75" customHeight="1" x14ac:dyDescent="0.55000000000000004">
      <c r="A14" s="41" t="str">
        <f>MASANIELLO!C16</f>
        <v>W</v>
      </c>
      <c r="B14" s="41">
        <f t="shared" si="2"/>
        <v>1</v>
      </c>
      <c r="C14" s="42">
        <f t="shared" si="3"/>
        <v>4.3937986903222379</v>
      </c>
      <c r="D14" s="42">
        <f t="shared" si="4"/>
        <v>5.7119382974189081</v>
      </c>
      <c r="E14" s="42">
        <f t="shared" si="5"/>
        <v>0</v>
      </c>
      <c r="F14" s="42">
        <f t="shared" si="6"/>
        <v>99.96000743637515</v>
      </c>
      <c r="G14" s="50">
        <f t="shared" si="7"/>
        <v>99.96000743637515</v>
      </c>
      <c r="H14" s="41">
        <f t="shared" si="8"/>
        <v>0</v>
      </c>
      <c r="I14" s="41">
        <f t="shared" si="9"/>
        <v>3</v>
      </c>
      <c r="J14" s="45">
        <f t="shared" si="10"/>
        <v>1</v>
      </c>
      <c r="M14" s="48" t="b">
        <f t="shared" si="11"/>
        <v>0</v>
      </c>
      <c r="N14" s="49" t="e">
        <f t="shared" ref="N14:DJ14" si="23">IF(N$1&gt;$L$2,   "",   IF(N$1=$L$2,  1,  IF($L$2-N$1=$L$1-$M14, $L$3^($L$1-$M14), ($L$3*N15*O15/(N15+($L$3-1)*O15) ))))</f>
        <v>#DIV/0!</v>
      </c>
      <c r="O14" s="49" t="e">
        <f t="shared" si="23"/>
        <v>#DIV/0!</v>
      </c>
      <c r="P14" s="49" t="e">
        <f t="shared" si="23"/>
        <v>#DIV/0!</v>
      </c>
      <c r="Q14" s="49" t="e">
        <f t="shared" si="23"/>
        <v>#DIV/0!</v>
      </c>
      <c r="R14" s="49">
        <f t="shared" si="23"/>
        <v>1</v>
      </c>
      <c r="S14" s="49" t="str">
        <f t="shared" si="23"/>
        <v/>
      </c>
      <c r="T14" s="49" t="str">
        <f t="shared" si="23"/>
        <v/>
      </c>
      <c r="U14" s="49" t="str">
        <f t="shared" si="23"/>
        <v/>
      </c>
      <c r="V14" s="49" t="str">
        <f t="shared" si="23"/>
        <v/>
      </c>
      <c r="W14" s="49" t="str">
        <f t="shared" si="23"/>
        <v/>
      </c>
      <c r="X14" s="49" t="str">
        <f t="shared" si="23"/>
        <v/>
      </c>
      <c r="Y14" s="49" t="str">
        <f t="shared" si="23"/>
        <v/>
      </c>
      <c r="Z14" s="49" t="str">
        <f t="shared" si="23"/>
        <v/>
      </c>
      <c r="AA14" s="49" t="str">
        <f t="shared" si="23"/>
        <v/>
      </c>
      <c r="AB14" s="49" t="str">
        <f t="shared" si="23"/>
        <v/>
      </c>
      <c r="AC14" s="49" t="str">
        <f t="shared" si="23"/>
        <v/>
      </c>
      <c r="AD14" s="49" t="str">
        <f t="shared" si="23"/>
        <v/>
      </c>
      <c r="AE14" s="49" t="str">
        <f t="shared" si="23"/>
        <v/>
      </c>
      <c r="AF14" s="49" t="str">
        <f t="shared" si="23"/>
        <v/>
      </c>
      <c r="AG14" s="49" t="str">
        <f t="shared" si="23"/>
        <v/>
      </c>
      <c r="AH14" s="49" t="str">
        <f t="shared" si="23"/>
        <v/>
      </c>
      <c r="AI14" s="49" t="str">
        <f t="shared" si="23"/>
        <v/>
      </c>
      <c r="AJ14" s="49" t="str">
        <f t="shared" si="23"/>
        <v/>
      </c>
      <c r="AK14" s="49" t="str">
        <f t="shared" si="23"/>
        <v/>
      </c>
      <c r="AL14" s="49" t="str">
        <f t="shared" si="23"/>
        <v/>
      </c>
      <c r="AM14" s="49" t="str">
        <f t="shared" si="23"/>
        <v/>
      </c>
      <c r="AN14" s="49" t="str">
        <f t="shared" si="23"/>
        <v/>
      </c>
      <c r="AO14" s="49" t="str">
        <f t="shared" si="23"/>
        <v/>
      </c>
      <c r="AP14" s="49" t="str">
        <f t="shared" si="23"/>
        <v/>
      </c>
      <c r="AQ14" s="49" t="str">
        <f t="shared" si="23"/>
        <v/>
      </c>
      <c r="AR14" s="49" t="str">
        <f t="shared" si="23"/>
        <v/>
      </c>
      <c r="AS14" s="49" t="str">
        <f t="shared" si="23"/>
        <v/>
      </c>
      <c r="AT14" s="49" t="str">
        <f t="shared" si="23"/>
        <v/>
      </c>
      <c r="AU14" s="49" t="str">
        <f t="shared" si="23"/>
        <v/>
      </c>
      <c r="AV14" s="49" t="str">
        <f t="shared" si="23"/>
        <v/>
      </c>
      <c r="AW14" s="49" t="str">
        <f t="shared" si="23"/>
        <v/>
      </c>
      <c r="AX14" s="49" t="str">
        <f t="shared" si="23"/>
        <v/>
      </c>
      <c r="AY14" s="49" t="str">
        <f t="shared" si="23"/>
        <v/>
      </c>
      <c r="AZ14" s="49" t="str">
        <f t="shared" si="23"/>
        <v/>
      </c>
      <c r="BA14" s="49" t="str">
        <f t="shared" si="23"/>
        <v/>
      </c>
      <c r="BB14" s="49" t="str">
        <f t="shared" si="23"/>
        <v/>
      </c>
      <c r="BC14" s="49" t="str">
        <f t="shared" si="23"/>
        <v/>
      </c>
      <c r="BD14" s="49" t="str">
        <f t="shared" si="23"/>
        <v/>
      </c>
      <c r="BE14" s="49" t="str">
        <f t="shared" si="23"/>
        <v/>
      </c>
      <c r="BF14" s="49" t="str">
        <f t="shared" si="23"/>
        <v/>
      </c>
      <c r="BG14" s="49" t="str">
        <f t="shared" si="23"/>
        <v/>
      </c>
      <c r="BH14" s="49" t="str">
        <f t="shared" si="23"/>
        <v/>
      </c>
      <c r="BI14" s="49" t="str">
        <f t="shared" si="23"/>
        <v/>
      </c>
      <c r="BJ14" s="49" t="str">
        <f t="shared" si="23"/>
        <v/>
      </c>
      <c r="BK14" s="49" t="str">
        <f t="shared" si="23"/>
        <v/>
      </c>
      <c r="BL14" s="49" t="str">
        <f t="shared" si="23"/>
        <v/>
      </c>
      <c r="BM14" s="49" t="str">
        <f t="shared" si="23"/>
        <v/>
      </c>
      <c r="BN14" s="49" t="str">
        <f t="shared" si="23"/>
        <v/>
      </c>
      <c r="BO14" s="49" t="str">
        <f t="shared" si="23"/>
        <v/>
      </c>
      <c r="BP14" s="49" t="str">
        <f t="shared" si="23"/>
        <v/>
      </c>
      <c r="BQ14" s="49" t="str">
        <f t="shared" si="23"/>
        <v/>
      </c>
      <c r="BR14" s="49" t="str">
        <f t="shared" si="23"/>
        <v/>
      </c>
      <c r="BS14" s="49" t="str">
        <f t="shared" si="23"/>
        <v/>
      </c>
      <c r="BT14" s="49" t="str">
        <f t="shared" si="23"/>
        <v/>
      </c>
      <c r="BU14" s="49" t="str">
        <f t="shared" si="23"/>
        <v/>
      </c>
      <c r="BV14" s="49" t="str">
        <f t="shared" si="23"/>
        <v/>
      </c>
      <c r="BW14" s="49" t="str">
        <f t="shared" si="23"/>
        <v/>
      </c>
      <c r="BX14" s="49" t="str">
        <f t="shared" si="23"/>
        <v/>
      </c>
      <c r="BY14" s="49" t="str">
        <f t="shared" si="23"/>
        <v/>
      </c>
      <c r="BZ14" s="49" t="str">
        <f t="shared" si="23"/>
        <v/>
      </c>
      <c r="CA14" s="49" t="str">
        <f t="shared" si="23"/>
        <v/>
      </c>
      <c r="CB14" s="49" t="str">
        <f t="shared" si="23"/>
        <v/>
      </c>
      <c r="CC14" s="49" t="str">
        <f t="shared" si="23"/>
        <v/>
      </c>
      <c r="CD14" s="49" t="str">
        <f t="shared" si="23"/>
        <v/>
      </c>
      <c r="CE14" s="49" t="str">
        <f t="shared" si="23"/>
        <v/>
      </c>
      <c r="CF14" s="49" t="str">
        <f t="shared" si="23"/>
        <v/>
      </c>
      <c r="CG14" s="49" t="str">
        <f t="shared" si="23"/>
        <v/>
      </c>
      <c r="CH14" s="49" t="str">
        <f t="shared" si="23"/>
        <v/>
      </c>
      <c r="CI14" s="49" t="str">
        <f t="shared" si="23"/>
        <v/>
      </c>
      <c r="CJ14" s="49" t="str">
        <f t="shared" si="23"/>
        <v/>
      </c>
      <c r="CK14" s="49" t="str">
        <f t="shared" si="23"/>
        <v/>
      </c>
      <c r="CL14" s="49" t="str">
        <f t="shared" si="23"/>
        <v/>
      </c>
      <c r="CM14" s="49" t="str">
        <f t="shared" si="23"/>
        <v/>
      </c>
      <c r="CN14" s="49" t="str">
        <f t="shared" si="23"/>
        <v/>
      </c>
      <c r="CO14" s="49" t="str">
        <f t="shared" si="23"/>
        <v/>
      </c>
      <c r="CP14" s="49" t="str">
        <f t="shared" si="23"/>
        <v/>
      </c>
      <c r="CQ14" s="49" t="str">
        <f t="shared" si="23"/>
        <v/>
      </c>
      <c r="CR14" s="49" t="str">
        <f t="shared" si="23"/>
        <v/>
      </c>
      <c r="CS14" s="49" t="str">
        <f t="shared" si="23"/>
        <v/>
      </c>
      <c r="CT14" s="49" t="str">
        <f t="shared" si="23"/>
        <v/>
      </c>
      <c r="CU14" s="49" t="str">
        <f t="shared" si="23"/>
        <v/>
      </c>
      <c r="CV14" s="49" t="str">
        <f t="shared" si="23"/>
        <v/>
      </c>
      <c r="CW14" s="49" t="str">
        <f t="shared" si="23"/>
        <v/>
      </c>
      <c r="CX14" s="49" t="str">
        <f t="shared" si="23"/>
        <v/>
      </c>
      <c r="CY14" s="49" t="str">
        <f t="shared" si="23"/>
        <v/>
      </c>
      <c r="CZ14" s="49" t="str">
        <f t="shared" si="23"/>
        <v/>
      </c>
      <c r="DA14" s="49" t="str">
        <f t="shared" si="23"/>
        <v/>
      </c>
      <c r="DB14" s="49" t="str">
        <f t="shared" si="23"/>
        <v/>
      </c>
      <c r="DC14" s="49" t="str">
        <f t="shared" si="23"/>
        <v/>
      </c>
      <c r="DD14" s="49" t="str">
        <f t="shared" si="23"/>
        <v/>
      </c>
      <c r="DE14" s="49" t="str">
        <f t="shared" si="23"/>
        <v/>
      </c>
      <c r="DF14" s="49" t="str">
        <f t="shared" si="23"/>
        <v/>
      </c>
      <c r="DG14" s="49" t="str">
        <f t="shared" si="23"/>
        <v/>
      </c>
      <c r="DH14" s="49" t="str">
        <f t="shared" si="23"/>
        <v/>
      </c>
      <c r="DI14" s="49" t="str">
        <f t="shared" si="23"/>
        <v/>
      </c>
      <c r="DJ14" s="49" t="str">
        <f t="shared" si="23"/>
        <v/>
      </c>
    </row>
    <row r="15" spans="1:114" ht="15.75" customHeight="1" x14ac:dyDescent="0.55000000000000004">
      <c r="A15" s="41" t="str">
        <f>MASANIELLO!C17</f>
        <v>W</v>
      </c>
      <c r="B15" s="41">
        <f t="shared" si="2"/>
        <v>1</v>
      </c>
      <c r="C15" s="42">
        <f t="shared" si="3"/>
        <v>1.4436767125344436</v>
      </c>
      <c r="D15" s="42">
        <f t="shared" si="4"/>
        <v>1.8767797262947765</v>
      </c>
      <c r="E15" s="42">
        <f t="shared" si="5"/>
        <v>0</v>
      </c>
      <c r="F15" s="42">
        <f t="shared" si="6"/>
        <v>101.83678716266992</v>
      </c>
      <c r="G15" s="50">
        <f t="shared" si="7"/>
        <v>101.83678716266992</v>
      </c>
      <c r="H15" s="41">
        <f t="shared" si="8"/>
        <v>0</v>
      </c>
      <c r="I15" s="41">
        <f t="shared" si="9"/>
        <v>0</v>
      </c>
      <c r="J15" s="45">
        <f t="shared" si="10"/>
        <v>1</v>
      </c>
      <c r="M15" s="48" t="b">
        <f t="shared" si="11"/>
        <v>0</v>
      </c>
      <c r="N15" s="49" t="e">
        <f t="shared" ref="N15:DJ15" si="24">IF(N$1&gt;$L$2,   "",   IF(N$1=$L$2,  1,  IF($L$2-N$1=$L$1-$M15, $L$3^($L$1-$M15), ($L$3*N16*O16/(N16+($L$3-1)*O16) ))))</f>
        <v>#DIV/0!</v>
      </c>
      <c r="O15" s="49" t="e">
        <f t="shared" si="24"/>
        <v>#DIV/0!</v>
      </c>
      <c r="P15" s="49" t="e">
        <f t="shared" si="24"/>
        <v>#DIV/0!</v>
      </c>
      <c r="Q15" s="49" t="e">
        <f t="shared" si="24"/>
        <v>#DIV/0!</v>
      </c>
      <c r="R15" s="49">
        <f t="shared" si="24"/>
        <v>1</v>
      </c>
      <c r="S15" s="49" t="str">
        <f t="shared" si="24"/>
        <v/>
      </c>
      <c r="T15" s="49" t="str">
        <f t="shared" si="24"/>
        <v/>
      </c>
      <c r="U15" s="49" t="str">
        <f t="shared" si="24"/>
        <v/>
      </c>
      <c r="V15" s="49" t="str">
        <f t="shared" si="24"/>
        <v/>
      </c>
      <c r="W15" s="49" t="str">
        <f t="shared" si="24"/>
        <v/>
      </c>
      <c r="X15" s="49" t="str">
        <f t="shared" si="24"/>
        <v/>
      </c>
      <c r="Y15" s="49" t="str">
        <f t="shared" si="24"/>
        <v/>
      </c>
      <c r="Z15" s="49" t="str">
        <f t="shared" si="24"/>
        <v/>
      </c>
      <c r="AA15" s="49" t="str">
        <f t="shared" si="24"/>
        <v/>
      </c>
      <c r="AB15" s="49" t="str">
        <f t="shared" si="24"/>
        <v/>
      </c>
      <c r="AC15" s="49" t="str">
        <f t="shared" si="24"/>
        <v/>
      </c>
      <c r="AD15" s="49" t="str">
        <f t="shared" si="24"/>
        <v/>
      </c>
      <c r="AE15" s="49" t="str">
        <f t="shared" si="24"/>
        <v/>
      </c>
      <c r="AF15" s="49" t="str">
        <f t="shared" si="24"/>
        <v/>
      </c>
      <c r="AG15" s="49" t="str">
        <f t="shared" si="24"/>
        <v/>
      </c>
      <c r="AH15" s="49" t="str">
        <f t="shared" si="24"/>
        <v/>
      </c>
      <c r="AI15" s="49" t="str">
        <f t="shared" si="24"/>
        <v/>
      </c>
      <c r="AJ15" s="49" t="str">
        <f t="shared" si="24"/>
        <v/>
      </c>
      <c r="AK15" s="49" t="str">
        <f t="shared" si="24"/>
        <v/>
      </c>
      <c r="AL15" s="49" t="str">
        <f t="shared" si="24"/>
        <v/>
      </c>
      <c r="AM15" s="49" t="str">
        <f t="shared" si="24"/>
        <v/>
      </c>
      <c r="AN15" s="49" t="str">
        <f t="shared" si="24"/>
        <v/>
      </c>
      <c r="AO15" s="49" t="str">
        <f t="shared" si="24"/>
        <v/>
      </c>
      <c r="AP15" s="49" t="str">
        <f t="shared" si="24"/>
        <v/>
      </c>
      <c r="AQ15" s="49" t="str">
        <f t="shared" si="24"/>
        <v/>
      </c>
      <c r="AR15" s="49" t="str">
        <f t="shared" si="24"/>
        <v/>
      </c>
      <c r="AS15" s="49" t="str">
        <f t="shared" si="24"/>
        <v/>
      </c>
      <c r="AT15" s="49" t="str">
        <f t="shared" si="24"/>
        <v/>
      </c>
      <c r="AU15" s="49" t="str">
        <f t="shared" si="24"/>
        <v/>
      </c>
      <c r="AV15" s="49" t="str">
        <f t="shared" si="24"/>
        <v/>
      </c>
      <c r="AW15" s="49" t="str">
        <f t="shared" si="24"/>
        <v/>
      </c>
      <c r="AX15" s="49" t="str">
        <f t="shared" si="24"/>
        <v/>
      </c>
      <c r="AY15" s="49" t="str">
        <f t="shared" si="24"/>
        <v/>
      </c>
      <c r="AZ15" s="49" t="str">
        <f t="shared" si="24"/>
        <v/>
      </c>
      <c r="BA15" s="49" t="str">
        <f t="shared" si="24"/>
        <v/>
      </c>
      <c r="BB15" s="49" t="str">
        <f t="shared" si="24"/>
        <v/>
      </c>
      <c r="BC15" s="49" t="str">
        <f t="shared" si="24"/>
        <v/>
      </c>
      <c r="BD15" s="49" t="str">
        <f t="shared" si="24"/>
        <v/>
      </c>
      <c r="BE15" s="49" t="str">
        <f t="shared" si="24"/>
        <v/>
      </c>
      <c r="BF15" s="49" t="str">
        <f t="shared" si="24"/>
        <v/>
      </c>
      <c r="BG15" s="49" t="str">
        <f t="shared" si="24"/>
        <v/>
      </c>
      <c r="BH15" s="49" t="str">
        <f t="shared" si="24"/>
        <v/>
      </c>
      <c r="BI15" s="49" t="str">
        <f t="shared" si="24"/>
        <v/>
      </c>
      <c r="BJ15" s="49" t="str">
        <f t="shared" si="24"/>
        <v/>
      </c>
      <c r="BK15" s="49" t="str">
        <f t="shared" si="24"/>
        <v/>
      </c>
      <c r="BL15" s="49" t="str">
        <f t="shared" si="24"/>
        <v/>
      </c>
      <c r="BM15" s="49" t="str">
        <f t="shared" si="24"/>
        <v/>
      </c>
      <c r="BN15" s="49" t="str">
        <f t="shared" si="24"/>
        <v/>
      </c>
      <c r="BO15" s="49" t="str">
        <f t="shared" si="24"/>
        <v/>
      </c>
      <c r="BP15" s="49" t="str">
        <f t="shared" si="24"/>
        <v/>
      </c>
      <c r="BQ15" s="49" t="str">
        <f t="shared" si="24"/>
        <v/>
      </c>
      <c r="BR15" s="49" t="str">
        <f t="shared" si="24"/>
        <v/>
      </c>
      <c r="BS15" s="49" t="str">
        <f t="shared" si="24"/>
        <v/>
      </c>
      <c r="BT15" s="49" t="str">
        <f t="shared" si="24"/>
        <v/>
      </c>
      <c r="BU15" s="49" t="str">
        <f t="shared" si="24"/>
        <v/>
      </c>
      <c r="BV15" s="49" t="str">
        <f t="shared" si="24"/>
        <v/>
      </c>
      <c r="BW15" s="49" t="str">
        <f t="shared" si="24"/>
        <v/>
      </c>
      <c r="BX15" s="49" t="str">
        <f t="shared" si="24"/>
        <v/>
      </c>
      <c r="BY15" s="49" t="str">
        <f t="shared" si="24"/>
        <v/>
      </c>
      <c r="BZ15" s="49" t="str">
        <f t="shared" si="24"/>
        <v/>
      </c>
      <c r="CA15" s="49" t="str">
        <f t="shared" si="24"/>
        <v/>
      </c>
      <c r="CB15" s="49" t="str">
        <f t="shared" si="24"/>
        <v/>
      </c>
      <c r="CC15" s="49" t="str">
        <f t="shared" si="24"/>
        <v/>
      </c>
      <c r="CD15" s="49" t="str">
        <f t="shared" si="24"/>
        <v/>
      </c>
      <c r="CE15" s="49" t="str">
        <f t="shared" si="24"/>
        <v/>
      </c>
      <c r="CF15" s="49" t="str">
        <f t="shared" si="24"/>
        <v/>
      </c>
      <c r="CG15" s="49" t="str">
        <f t="shared" si="24"/>
        <v/>
      </c>
      <c r="CH15" s="49" t="str">
        <f t="shared" si="24"/>
        <v/>
      </c>
      <c r="CI15" s="49" t="str">
        <f t="shared" si="24"/>
        <v/>
      </c>
      <c r="CJ15" s="49" t="str">
        <f t="shared" si="24"/>
        <v/>
      </c>
      <c r="CK15" s="49" t="str">
        <f t="shared" si="24"/>
        <v/>
      </c>
      <c r="CL15" s="49" t="str">
        <f t="shared" si="24"/>
        <v/>
      </c>
      <c r="CM15" s="49" t="str">
        <f t="shared" si="24"/>
        <v/>
      </c>
      <c r="CN15" s="49" t="str">
        <f t="shared" si="24"/>
        <v/>
      </c>
      <c r="CO15" s="49" t="str">
        <f t="shared" si="24"/>
        <v/>
      </c>
      <c r="CP15" s="49" t="str">
        <f t="shared" si="24"/>
        <v/>
      </c>
      <c r="CQ15" s="49" t="str">
        <f t="shared" si="24"/>
        <v/>
      </c>
      <c r="CR15" s="49" t="str">
        <f t="shared" si="24"/>
        <v/>
      </c>
      <c r="CS15" s="49" t="str">
        <f t="shared" si="24"/>
        <v/>
      </c>
      <c r="CT15" s="49" t="str">
        <f t="shared" si="24"/>
        <v/>
      </c>
      <c r="CU15" s="49" t="str">
        <f t="shared" si="24"/>
        <v/>
      </c>
      <c r="CV15" s="49" t="str">
        <f t="shared" si="24"/>
        <v/>
      </c>
      <c r="CW15" s="49" t="str">
        <f t="shared" si="24"/>
        <v/>
      </c>
      <c r="CX15" s="49" t="str">
        <f t="shared" si="24"/>
        <v/>
      </c>
      <c r="CY15" s="49" t="str">
        <f t="shared" si="24"/>
        <v/>
      </c>
      <c r="CZ15" s="49" t="str">
        <f t="shared" si="24"/>
        <v/>
      </c>
      <c r="DA15" s="49" t="str">
        <f t="shared" si="24"/>
        <v/>
      </c>
      <c r="DB15" s="49" t="str">
        <f t="shared" si="24"/>
        <v/>
      </c>
      <c r="DC15" s="49" t="str">
        <f t="shared" si="24"/>
        <v/>
      </c>
      <c r="DD15" s="49" t="str">
        <f t="shared" si="24"/>
        <v/>
      </c>
      <c r="DE15" s="49" t="str">
        <f t="shared" si="24"/>
        <v/>
      </c>
      <c r="DF15" s="49" t="str">
        <f t="shared" si="24"/>
        <v/>
      </c>
      <c r="DG15" s="49" t="str">
        <f t="shared" si="24"/>
        <v/>
      </c>
      <c r="DH15" s="49" t="str">
        <f t="shared" si="24"/>
        <v/>
      </c>
      <c r="DI15" s="49" t="str">
        <f t="shared" si="24"/>
        <v/>
      </c>
      <c r="DJ15" s="49" t="str">
        <f t="shared" si="24"/>
        <v/>
      </c>
    </row>
    <row r="16" spans="1:114" ht="15.75" customHeight="1" x14ac:dyDescent="0.55000000000000004">
      <c r="A16" s="41" t="str">
        <f>MASANIELLO!C18</f>
        <v>W</v>
      </c>
      <c r="B16" s="41">
        <f t="shared" ref="B16:B21" si="25">IF( OR(I15=$L$2,H15=1+$L$1-$L$2), "",  IF(A16="l",0,IF(A16="w",1,""))    )</f>
        <v>1</v>
      </c>
      <c r="C16" s="42">
        <f t="shared" ref="C16:C21" si="26">IF(OR(I15&gt;=$L$2,D15=""),"",IF(ISERROR((1-$L$3*INDEX($N$2:$DJ$101,H15+I15+2,I15+2)/(INDEX($N$2:$DJ$101,H15+I15+2,I15+1)+($L$3-1)*(INDEX($N$2:$DJ$101,H15+I15+2,I15+2))))*$F15),  $F15,     (1-$L$3*INDEX($N$2:$DJ$101,H15+I15+2,I15+2)/(INDEX($N$2:$DJ$101,H15+I15+2,I15+1)+($L$3-1)*(INDEX($N$2:$DJ$101,H15+I15+2,I15+2))))*$F15     )          )</f>
        <v>14.224371017975455</v>
      </c>
      <c r="D16" s="42">
        <f t="shared" ref="D16:D21" si="27">IF(I15&gt;=$L$2,"",IF(B16="", "", C16*($L$3-1)*B16)   )</f>
        <v>18.491682323368089</v>
      </c>
      <c r="E16" s="42">
        <f t="shared" ref="E16:E21" si="28">IF(B16="","",(   D16-(IF((D16+F15)&lt;=G15, D16, (G15-F15) ))   )*(100-$L$5)/100   )</f>
        <v>0</v>
      </c>
      <c r="F16" s="42">
        <f t="shared" ref="F16:F21" si="29">IF(I15&gt;=$L$2,"",IF(B16="", "",   IF(B16=0,  F15-C16,  IF( ((F15+D16)-G15)&gt;=0, F15+(G15-F15)+((D16-(G15-F15))*$L$5/100), F15+D16 )  ))   )</f>
        <v>120.32846948603802</v>
      </c>
      <c r="G16" s="50">
        <f t="shared" ref="G16:G21" si="30">IF(F16&gt;G15,  F16,  G15)</f>
        <v>120.32846948603802</v>
      </c>
      <c r="H16" s="41">
        <f t="shared" ref="H16:H21" si="31">IF(   $L$4=0,   IF(I15+B16=$L$2,0,IF(B16=0,H15+1,H15)),   IF(  F16&gt;=G15,  0,  IF(B16=0,H15+1,H15)  )   )</f>
        <v>0</v>
      </c>
      <c r="I16" s="41">
        <f t="shared" ref="I16:I21" si="32">IF(   $L$4=0,   IF(I15+B16=$L$2,0,IF(B16=1,I15+1,I15)),        IF(  F16&gt;=G15,  0,  IF(B16=1,I15+1,I15)  )   )</f>
        <v>1</v>
      </c>
      <c r="J16" s="45">
        <f t="shared" si="10"/>
        <v>1</v>
      </c>
      <c r="M16" s="48" t="b">
        <f t="shared" si="11"/>
        <v>0</v>
      </c>
      <c r="N16" s="49" t="e">
        <f t="shared" ref="N16:DJ16" si="33">IF(N$1&gt;$L$2,   "",   IF(N$1=$L$2,  1,  IF($L$2-N$1=$L$1-$M16, $L$3^($L$1-$M16), ($L$3*N17*O17/(N17+($L$3-1)*O17) ))))</f>
        <v>#DIV/0!</v>
      </c>
      <c r="O16" s="49" t="e">
        <f t="shared" si="33"/>
        <v>#DIV/0!</v>
      </c>
      <c r="P16" s="49" t="e">
        <f t="shared" si="33"/>
        <v>#DIV/0!</v>
      </c>
      <c r="Q16" s="49" t="e">
        <f t="shared" si="33"/>
        <v>#DIV/0!</v>
      </c>
      <c r="R16" s="49">
        <f t="shared" si="33"/>
        <v>1</v>
      </c>
      <c r="S16" s="49" t="str">
        <f t="shared" si="33"/>
        <v/>
      </c>
      <c r="T16" s="49" t="str">
        <f t="shared" si="33"/>
        <v/>
      </c>
      <c r="U16" s="49" t="str">
        <f t="shared" si="33"/>
        <v/>
      </c>
      <c r="V16" s="49" t="str">
        <f t="shared" si="33"/>
        <v/>
      </c>
      <c r="W16" s="49" t="str">
        <f t="shared" si="33"/>
        <v/>
      </c>
      <c r="X16" s="49" t="str">
        <f t="shared" si="33"/>
        <v/>
      </c>
      <c r="Y16" s="49" t="str">
        <f t="shared" si="33"/>
        <v/>
      </c>
      <c r="Z16" s="49" t="str">
        <f t="shared" si="33"/>
        <v/>
      </c>
      <c r="AA16" s="49" t="str">
        <f t="shared" si="33"/>
        <v/>
      </c>
      <c r="AB16" s="49" t="str">
        <f t="shared" si="33"/>
        <v/>
      </c>
      <c r="AC16" s="49" t="str">
        <f t="shared" si="33"/>
        <v/>
      </c>
      <c r="AD16" s="49" t="str">
        <f t="shared" si="33"/>
        <v/>
      </c>
      <c r="AE16" s="49" t="str">
        <f t="shared" si="33"/>
        <v/>
      </c>
      <c r="AF16" s="49" t="str">
        <f t="shared" si="33"/>
        <v/>
      </c>
      <c r="AG16" s="49" t="str">
        <f t="shared" si="33"/>
        <v/>
      </c>
      <c r="AH16" s="49" t="str">
        <f t="shared" si="33"/>
        <v/>
      </c>
      <c r="AI16" s="49" t="str">
        <f t="shared" si="33"/>
        <v/>
      </c>
      <c r="AJ16" s="49" t="str">
        <f t="shared" si="33"/>
        <v/>
      </c>
      <c r="AK16" s="49" t="str">
        <f t="shared" si="33"/>
        <v/>
      </c>
      <c r="AL16" s="49" t="str">
        <f t="shared" si="33"/>
        <v/>
      </c>
      <c r="AM16" s="49" t="str">
        <f t="shared" si="33"/>
        <v/>
      </c>
      <c r="AN16" s="49" t="str">
        <f t="shared" si="33"/>
        <v/>
      </c>
      <c r="AO16" s="49" t="str">
        <f t="shared" si="33"/>
        <v/>
      </c>
      <c r="AP16" s="49" t="str">
        <f t="shared" si="33"/>
        <v/>
      </c>
      <c r="AQ16" s="49" t="str">
        <f t="shared" si="33"/>
        <v/>
      </c>
      <c r="AR16" s="49" t="str">
        <f t="shared" si="33"/>
        <v/>
      </c>
      <c r="AS16" s="49" t="str">
        <f t="shared" si="33"/>
        <v/>
      </c>
      <c r="AT16" s="49" t="str">
        <f t="shared" si="33"/>
        <v/>
      </c>
      <c r="AU16" s="49" t="str">
        <f t="shared" si="33"/>
        <v/>
      </c>
      <c r="AV16" s="49" t="str">
        <f t="shared" si="33"/>
        <v/>
      </c>
      <c r="AW16" s="49" t="str">
        <f t="shared" si="33"/>
        <v/>
      </c>
      <c r="AX16" s="49" t="str">
        <f t="shared" si="33"/>
        <v/>
      </c>
      <c r="AY16" s="49" t="str">
        <f t="shared" si="33"/>
        <v/>
      </c>
      <c r="AZ16" s="49" t="str">
        <f t="shared" si="33"/>
        <v/>
      </c>
      <c r="BA16" s="49" t="str">
        <f t="shared" si="33"/>
        <v/>
      </c>
      <c r="BB16" s="49" t="str">
        <f t="shared" si="33"/>
        <v/>
      </c>
      <c r="BC16" s="49" t="str">
        <f t="shared" si="33"/>
        <v/>
      </c>
      <c r="BD16" s="49" t="str">
        <f t="shared" si="33"/>
        <v/>
      </c>
      <c r="BE16" s="49" t="str">
        <f t="shared" si="33"/>
        <v/>
      </c>
      <c r="BF16" s="49" t="str">
        <f t="shared" si="33"/>
        <v/>
      </c>
      <c r="BG16" s="49" t="str">
        <f t="shared" si="33"/>
        <v/>
      </c>
      <c r="BH16" s="49" t="str">
        <f t="shared" si="33"/>
        <v/>
      </c>
      <c r="BI16" s="49" t="str">
        <f t="shared" si="33"/>
        <v/>
      </c>
      <c r="BJ16" s="49" t="str">
        <f t="shared" si="33"/>
        <v/>
      </c>
      <c r="BK16" s="49" t="str">
        <f t="shared" si="33"/>
        <v/>
      </c>
      <c r="BL16" s="49" t="str">
        <f t="shared" si="33"/>
        <v/>
      </c>
      <c r="BM16" s="49" t="str">
        <f t="shared" si="33"/>
        <v/>
      </c>
      <c r="BN16" s="49" t="str">
        <f t="shared" si="33"/>
        <v/>
      </c>
      <c r="BO16" s="49" t="str">
        <f t="shared" si="33"/>
        <v/>
      </c>
      <c r="BP16" s="49" t="str">
        <f t="shared" si="33"/>
        <v/>
      </c>
      <c r="BQ16" s="49" t="str">
        <f t="shared" si="33"/>
        <v/>
      </c>
      <c r="BR16" s="49" t="str">
        <f t="shared" si="33"/>
        <v/>
      </c>
      <c r="BS16" s="49" t="str">
        <f t="shared" si="33"/>
        <v/>
      </c>
      <c r="BT16" s="49" t="str">
        <f t="shared" si="33"/>
        <v/>
      </c>
      <c r="BU16" s="49" t="str">
        <f t="shared" si="33"/>
        <v/>
      </c>
      <c r="BV16" s="49" t="str">
        <f t="shared" si="33"/>
        <v/>
      </c>
      <c r="BW16" s="49" t="str">
        <f t="shared" si="33"/>
        <v/>
      </c>
      <c r="BX16" s="49" t="str">
        <f t="shared" si="33"/>
        <v/>
      </c>
      <c r="BY16" s="49" t="str">
        <f t="shared" si="33"/>
        <v/>
      </c>
      <c r="BZ16" s="49" t="str">
        <f t="shared" si="33"/>
        <v/>
      </c>
      <c r="CA16" s="49" t="str">
        <f t="shared" si="33"/>
        <v/>
      </c>
      <c r="CB16" s="49" t="str">
        <f t="shared" si="33"/>
        <v/>
      </c>
      <c r="CC16" s="49" t="str">
        <f t="shared" si="33"/>
        <v/>
      </c>
      <c r="CD16" s="49" t="str">
        <f t="shared" si="33"/>
        <v/>
      </c>
      <c r="CE16" s="49" t="str">
        <f t="shared" si="33"/>
        <v/>
      </c>
      <c r="CF16" s="49" t="str">
        <f t="shared" si="33"/>
        <v/>
      </c>
      <c r="CG16" s="49" t="str">
        <f t="shared" si="33"/>
        <v/>
      </c>
      <c r="CH16" s="49" t="str">
        <f t="shared" si="33"/>
        <v/>
      </c>
      <c r="CI16" s="49" t="str">
        <f t="shared" si="33"/>
        <v/>
      </c>
      <c r="CJ16" s="49" t="str">
        <f t="shared" si="33"/>
        <v/>
      </c>
      <c r="CK16" s="49" t="str">
        <f t="shared" si="33"/>
        <v/>
      </c>
      <c r="CL16" s="49" t="str">
        <f t="shared" si="33"/>
        <v/>
      </c>
      <c r="CM16" s="49" t="str">
        <f t="shared" si="33"/>
        <v/>
      </c>
      <c r="CN16" s="49" t="str">
        <f t="shared" si="33"/>
        <v/>
      </c>
      <c r="CO16" s="49" t="str">
        <f t="shared" si="33"/>
        <v/>
      </c>
      <c r="CP16" s="49" t="str">
        <f t="shared" si="33"/>
        <v/>
      </c>
      <c r="CQ16" s="49" t="str">
        <f t="shared" si="33"/>
        <v/>
      </c>
      <c r="CR16" s="49" t="str">
        <f t="shared" si="33"/>
        <v/>
      </c>
      <c r="CS16" s="49" t="str">
        <f t="shared" si="33"/>
        <v/>
      </c>
      <c r="CT16" s="49" t="str">
        <f t="shared" si="33"/>
        <v/>
      </c>
      <c r="CU16" s="49" t="str">
        <f t="shared" si="33"/>
        <v/>
      </c>
      <c r="CV16" s="49" t="str">
        <f t="shared" si="33"/>
        <v/>
      </c>
      <c r="CW16" s="49" t="str">
        <f t="shared" si="33"/>
        <v/>
      </c>
      <c r="CX16" s="49" t="str">
        <f t="shared" si="33"/>
        <v/>
      </c>
      <c r="CY16" s="49" t="str">
        <f t="shared" si="33"/>
        <v/>
      </c>
      <c r="CZ16" s="49" t="str">
        <f t="shared" si="33"/>
        <v/>
      </c>
      <c r="DA16" s="49" t="str">
        <f t="shared" si="33"/>
        <v/>
      </c>
      <c r="DB16" s="49" t="str">
        <f t="shared" si="33"/>
        <v/>
      </c>
      <c r="DC16" s="49" t="str">
        <f t="shared" si="33"/>
        <v/>
      </c>
      <c r="DD16" s="49" t="str">
        <f t="shared" si="33"/>
        <v/>
      </c>
      <c r="DE16" s="49" t="str">
        <f t="shared" si="33"/>
        <v/>
      </c>
      <c r="DF16" s="49" t="str">
        <f t="shared" si="33"/>
        <v/>
      </c>
      <c r="DG16" s="49" t="str">
        <f t="shared" si="33"/>
        <v/>
      </c>
      <c r="DH16" s="49" t="str">
        <f t="shared" si="33"/>
        <v/>
      </c>
      <c r="DI16" s="49" t="str">
        <f t="shared" si="33"/>
        <v/>
      </c>
      <c r="DJ16" s="49" t="str">
        <f t="shared" si="33"/>
        <v/>
      </c>
    </row>
    <row r="17" spans="1:114" ht="15.75" customHeight="1" x14ac:dyDescent="0.55000000000000004">
      <c r="A17" s="41" t="str">
        <f>MASANIELLO!C19</f>
        <v>W</v>
      </c>
      <c r="B17" s="41">
        <f t="shared" si="25"/>
        <v>1</v>
      </c>
      <c r="C17" s="42">
        <f t="shared" si="26"/>
        <v>10.905351113781173</v>
      </c>
      <c r="D17" s="42">
        <f t="shared" si="27"/>
        <v>14.176956447915522</v>
      </c>
      <c r="E17" s="42">
        <f t="shared" si="28"/>
        <v>0</v>
      </c>
      <c r="F17" s="42">
        <f t="shared" si="29"/>
        <v>134.50542593395355</v>
      </c>
      <c r="G17" s="50">
        <f t="shared" si="30"/>
        <v>134.50542593395355</v>
      </c>
      <c r="H17" s="41">
        <f t="shared" si="31"/>
        <v>0</v>
      </c>
      <c r="I17" s="41">
        <f t="shared" si="32"/>
        <v>2</v>
      </c>
      <c r="J17" s="45">
        <f t="shared" si="10"/>
        <v>1</v>
      </c>
      <c r="M17" s="48" t="b">
        <f t="shared" si="11"/>
        <v>0</v>
      </c>
      <c r="N17" s="49" t="e">
        <f t="shared" ref="N17:DJ17" si="34">IF(N$1&gt;$L$2,   "",   IF(N$1=$L$2,  1,  IF($L$2-N$1=$L$1-$M17, $L$3^($L$1-$M17), ($L$3*N18*O18/(N18+($L$3-1)*O18) ))))</f>
        <v>#DIV/0!</v>
      </c>
      <c r="O17" s="49" t="e">
        <f t="shared" si="34"/>
        <v>#DIV/0!</v>
      </c>
      <c r="P17" s="49" t="e">
        <f t="shared" si="34"/>
        <v>#DIV/0!</v>
      </c>
      <c r="Q17" s="49" t="e">
        <f t="shared" si="34"/>
        <v>#DIV/0!</v>
      </c>
      <c r="R17" s="49">
        <f t="shared" si="34"/>
        <v>1</v>
      </c>
      <c r="S17" s="49" t="str">
        <f t="shared" si="34"/>
        <v/>
      </c>
      <c r="T17" s="49" t="str">
        <f t="shared" si="34"/>
        <v/>
      </c>
      <c r="U17" s="49" t="str">
        <f t="shared" si="34"/>
        <v/>
      </c>
      <c r="V17" s="49" t="str">
        <f t="shared" si="34"/>
        <v/>
      </c>
      <c r="W17" s="49" t="str">
        <f t="shared" si="34"/>
        <v/>
      </c>
      <c r="X17" s="49" t="str">
        <f t="shared" si="34"/>
        <v/>
      </c>
      <c r="Y17" s="49" t="str">
        <f t="shared" si="34"/>
        <v/>
      </c>
      <c r="Z17" s="49" t="str">
        <f t="shared" si="34"/>
        <v/>
      </c>
      <c r="AA17" s="49" t="str">
        <f t="shared" si="34"/>
        <v/>
      </c>
      <c r="AB17" s="49" t="str">
        <f t="shared" si="34"/>
        <v/>
      </c>
      <c r="AC17" s="49" t="str">
        <f t="shared" si="34"/>
        <v/>
      </c>
      <c r="AD17" s="49" t="str">
        <f t="shared" si="34"/>
        <v/>
      </c>
      <c r="AE17" s="49" t="str">
        <f t="shared" si="34"/>
        <v/>
      </c>
      <c r="AF17" s="49" t="str">
        <f t="shared" si="34"/>
        <v/>
      </c>
      <c r="AG17" s="49" t="str">
        <f t="shared" si="34"/>
        <v/>
      </c>
      <c r="AH17" s="49" t="str">
        <f t="shared" si="34"/>
        <v/>
      </c>
      <c r="AI17" s="49" t="str">
        <f t="shared" si="34"/>
        <v/>
      </c>
      <c r="AJ17" s="49" t="str">
        <f t="shared" si="34"/>
        <v/>
      </c>
      <c r="AK17" s="49" t="str">
        <f t="shared" si="34"/>
        <v/>
      </c>
      <c r="AL17" s="49" t="str">
        <f t="shared" si="34"/>
        <v/>
      </c>
      <c r="AM17" s="49" t="str">
        <f t="shared" si="34"/>
        <v/>
      </c>
      <c r="AN17" s="49" t="str">
        <f t="shared" si="34"/>
        <v/>
      </c>
      <c r="AO17" s="49" t="str">
        <f t="shared" si="34"/>
        <v/>
      </c>
      <c r="AP17" s="49" t="str">
        <f t="shared" si="34"/>
        <v/>
      </c>
      <c r="AQ17" s="49" t="str">
        <f t="shared" si="34"/>
        <v/>
      </c>
      <c r="AR17" s="49" t="str">
        <f t="shared" si="34"/>
        <v/>
      </c>
      <c r="AS17" s="49" t="str">
        <f t="shared" si="34"/>
        <v/>
      </c>
      <c r="AT17" s="49" t="str">
        <f t="shared" si="34"/>
        <v/>
      </c>
      <c r="AU17" s="49" t="str">
        <f t="shared" si="34"/>
        <v/>
      </c>
      <c r="AV17" s="49" t="str">
        <f t="shared" si="34"/>
        <v/>
      </c>
      <c r="AW17" s="49" t="str">
        <f t="shared" si="34"/>
        <v/>
      </c>
      <c r="AX17" s="49" t="str">
        <f t="shared" si="34"/>
        <v/>
      </c>
      <c r="AY17" s="49" t="str">
        <f t="shared" si="34"/>
        <v/>
      </c>
      <c r="AZ17" s="49" t="str">
        <f t="shared" si="34"/>
        <v/>
      </c>
      <c r="BA17" s="49" t="str">
        <f t="shared" si="34"/>
        <v/>
      </c>
      <c r="BB17" s="49" t="str">
        <f t="shared" si="34"/>
        <v/>
      </c>
      <c r="BC17" s="49" t="str">
        <f t="shared" si="34"/>
        <v/>
      </c>
      <c r="BD17" s="49" t="str">
        <f t="shared" si="34"/>
        <v/>
      </c>
      <c r="BE17" s="49" t="str">
        <f t="shared" si="34"/>
        <v/>
      </c>
      <c r="BF17" s="49" t="str">
        <f t="shared" si="34"/>
        <v/>
      </c>
      <c r="BG17" s="49" t="str">
        <f t="shared" si="34"/>
        <v/>
      </c>
      <c r="BH17" s="49" t="str">
        <f t="shared" si="34"/>
        <v/>
      </c>
      <c r="BI17" s="49" t="str">
        <f t="shared" si="34"/>
        <v/>
      </c>
      <c r="BJ17" s="49" t="str">
        <f t="shared" si="34"/>
        <v/>
      </c>
      <c r="BK17" s="49" t="str">
        <f t="shared" si="34"/>
        <v/>
      </c>
      <c r="BL17" s="49" t="str">
        <f t="shared" si="34"/>
        <v/>
      </c>
      <c r="BM17" s="49" t="str">
        <f t="shared" si="34"/>
        <v/>
      </c>
      <c r="BN17" s="49" t="str">
        <f t="shared" si="34"/>
        <v/>
      </c>
      <c r="BO17" s="49" t="str">
        <f t="shared" si="34"/>
        <v/>
      </c>
      <c r="BP17" s="49" t="str">
        <f t="shared" si="34"/>
        <v/>
      </c>
      <c r="BQ17" s="49" t="str">
        <f t="shared" si="34"/>
        <v/>
      </c>
      <c r="BR17" s="49" t="str">
        <f t="shared" si="34"/>
        <v/>
      </c>
      <c r="BS17" s="49" t="str">
        <f t="shared" si="34"/>
        <v/>
      </c>
      <c r="BT17" s="49" t="str">
        <f t="shared" si="34"/>
        <v/>
      </c>
      <c r="BU17" s="49" t="str">
        <f t="shared" si="34"/>
        <v/>
      </c>
      <c r="BV17" s="49" t="str">
        <f t="shared" si="34"/>
        <v/>
      </c>
      <c r="BW17" s="49" t="str">
        <f t="shared" si="34"/>
        <v/>
      </c>
      <c r="BX17" s="49" t="str">
        <f t="shared" si="34"/>
        <v/>
      </c>
      <c r="BY17" s="49" t="str">
        <f t="shared" si="34"/>
        <v/>
      </c>
      <c r="BZ17" s="49" t="str">
        <f t="shared" si="34"/>
        <v/>
      </c>
      <c r="CA17" s="49" t="str">
        <f t="shared" si="34"/>
        <v/>
      </c>
      <c r="CB17" s="49" t="str">
        <f t="shared" si="34"/>
        <v/>
      </c>
      <c r="CC17" s="49" t="str">
        <f t="shared" si="34"/>
        <v/>
      </c>
      <c r="CD17" s="49" t="str">
        <f t="shared" si="34"/>
        <v/>
      </c>
      <c r="CE17" s="49" t="str">
        <f t="shared" si="34"/>
        <v/>
      </c>
      <c r="CF17" s="49" t="str">
        <f t="shared" si="34"/>
        <v/>
      </c>
      <c r="CG17" s="49" t="str">
        <f t="shared" si="34"/>
        <v/>
      </c>
      <c r="CH17" s="49" t="str">
        <f t="shared" si="34"/>
        <v/>
      </c>
      <c r="CI17" s="49" t="str">
        <f t="shared" si="34"/>
        <v/>
      </c>
      <c r="CJ17" s="49" t="str">
        <f t="shared" si="34"/>
        <v/>
      </c>
      <c r="CK17" s="49" t="str">
        <f t="shared" si="34"/>
        <v/>
      </c>
      <c r="CL17" s="49" t="str">
        <f t="shared" si="34"/>
        <v/>
      </c>
      <c r="CM17" s="49" t="str">
        <f t="shared" si="34"/>
        <v/>
      </c>
      <c r="CN17" s="49" t="str">
        <f t="shared" si="34"/>
        <v/>
      </c>
      <c r="CO17" s="49" t="str">
        <f t="shared" si="34"/>
        <v/>
      </c>
      <c r="CP17" s="49" t="str">
        <f t="shared" si="34"/>
        <v/>
      </c>
      <c r="CQ17" s="49" t="str">
        <f t="shared" si="34"/>
        <v/>
      </c>
      <c r="CR17" s="49" t="str">
        <f t="shared" si="34"/>
        <v/>
      </c>
      <c r="CS17" s="49" t="str">
        <f t="shared" si="34"/>
        <v/>
      </c>
      <c r="CT17" s="49" t="str">
        <f t="shared" si="34"/>
        <v/>
      </c>
      <c r="CU17" s="49" t="str">
        <f t="shared" si="34"/>
        <v/>
      </c>
      <c r="CV17" s="49" t="str">
        <f t="shared" si="34"/>
        <v/>
      </c>
      <c r="CW17" s="49" t="str">
        <f t="shared" si="34"/>
        <v/>
      </c>
      <c r="CX17" s="49" t="str">
        <f t="shared" si="34"/>
        <v/>
      </c>
      <c r="CY17" s="49" t="str">
        <f t="shared" si="34"/>
        <v/>
      </c>
      <c r="CZ17" s="49" t="str">
        <f t="shared" si="34"/>
        <v/>
      </c>
      <c r="DA17" s="49" t="str">
        <f t="shared" si="34"/>
        <v/>
      </c>
      <c r="DB17" s="49" t="str">
        <f t="shared" si="34"/>
        <v/>
      </c>
      <c r="DC17" s="49" t="str">
        <f t="shared" si="34"/>
        <v/>
      </c>
      <c r="DD17" s="49" t="str">
        <f t="shared" si="34"/>
        <v/>
      </c>
      <c r="DE17" s="49" t="str">
        <f t="shared" si="34"/>
        <v/>
      </c>
      <c r="DF17" s="49" t="str">
        <f t="shared" si="34"/>
        <v/>
      </c>
      <c r="DG17" s="49" t="str">
        <f t="shared" si="34"/>
        <v/>
      </c>
      <c r="DH17" s="49" t="str">
        <f t="shared" si="34"/>
        <v/>
      </c>
      <c r="DI17" s="49" t="str">
        <f t="shared" si="34"/>
        <v/>
      </c>
      <c r="DJ17" s="49" t="str">
        <f t="shared" si="34"/>
        <v/>
      </c>
    </row>
    <row r="18" spans="1:114" ht="15.75" customHeight="1" x14ac:dyDescent="0.55000000000000004">
      <c r="A18" s="41">
        <f>MASANIELLO!C20</f>
        <v>0</v>
      </c>
      <c r="B18" s="41" t="str">
        <f t="shared" si="25"/>
        <v/>
      </c>
      <c r="C18" s="42">
        <f t="shared" si="26"/>
        <v>6.2705768904241852</v>
      </c>
      <c r="D18" s="42" t="str">
        <f t="shared" si="27"/>
        <v/>
      </c>
      <c r="E18" s="42" t="str">
        <f t="shared" si="28"/>
        <v/>
      </c>
      <c r="F18" s="42" t="str">
        <f t="shared" si="29"/>
        <v/>
      </c>
      <c r="G18" s="50" t="str">
        <f t="shared" si="30"/>
        <v/>
      </c>
      <c r="H18" s="41" t="e">
        <f t="shared" si="31"/>
        <v>#VALUE!</v>
      </c>
      <c r="I18" s="41" t="e">
        <f t="shared" si="32"/>
        <v>#VALUE!</v>
      </c>
      <c r="J18" s="45" t="str">
        <f t="shared" si="10"/>
        <v/>
      </c>
      <c r="M18" s="48" t="b">
        <f t="shared" si="11"/>
        <v>0</v>
      </c>
      <c r="N18" s="49" t="e">
        <f t="shared" ref="N18:DJ18" si="35">IF(N$1&gt;$L$2,   "",   IF(N$1=$L$2,  1,  IF($L$2-N$1=$L$1-$M18, $L$3^($L$1-$M18), ($L$3*N19*O19/(N19+($L$3-1)*O19) ))))</f>
        <v>#DIV/0!</v>
      </c>
      <c r="O18" s="49" t="e">
        <f t="shared" si="35"/>
        <v>#DIV/0!</v>
      </c>
      <c r="P18" s="49" t="e">
        <f t="shared" si="35"/>
        <v>#DIV/0!</v>
      </c>
      <c r="Q18" s="49" t="e">
        <f t="shared" si="35"/>
        <v>#DIV/0!</v>
      </c>
      <c r="R18" s="49">
        <f t="shared" si="35"/>
        <v>1</v>
      </c>
      <c r="S18" s="49" t="str">
        <f t="shared" si="35"/>
        <v/>
      </c>
      <c r="T18" s="49" t="str">
        <f t="shared" si="35"/>
        <v/>
      </c>
      <c r="U18" s="49" t="str">
        <f t="shared" si="35"/>
        <v/>
      </c>
      <c r="V18" s="49" t="str">
        <f t="shared" si="35"/>
        <v/>
      </c>
      <c r="W18" s="49" t="str">
        <f t="shared" si="35"/>
        <v/>
      </c>
      <c r="X18" s="49" t="str">
        <f t="shared" si="35"/>
        <v/>
      </c>
      <c r="Y18" s="49" t="str">
        <f t="shared" si="35"/>
        <v/>
      </c>
      <c r="Z18" s="49" t="str">
        <f t="shared" si="35"/>
        <v/>
      </c>
      <c r="AA18" s="49" t="str">
        <f t="shared" si="35"/>
        <v/>
      </c>
      <c r="AB18" s="49" t="str">
        <f t="shared" si="35"/>
        <v/>
      </c>
      <c r="AC18" s="49" t="str">
        <f t="shared" si="35"/>
        <v/>
      </c>
      <c r="AD18" s="49" t="str">
        <f t="shared" si="35"/>
        <v/>
      </c>
      <c r="AE18" s="49" t="str">
        <f t="shared" si="35"/>
        <v/>
      </c>
      <c r="AF18" s="49" t="str">
        <f t="shared" si="35"/>
        <v/>
      </c>
      <c r="AG18" s="49" t="str">
        <f t="shared" si="35"/>
        <v/>
      </c>
      <c r="AH18" s="49" t="str">
        <f t="shared" si="35"/>
        <v/>
      </c>
      <c r="AI18" s="49" t="str">
        <f t="shared" si="35"/>
        <v/>
      </c>
      <c r="AJ18" s="49" t="str">
        <f t="shared" si="35"/>
        <v/>
      </c>
      <c r="AK18" s="49" t="str">
        <f t="shared" si="35"/>
        <v/>
      </c>
      <c r="AL18" s="49" t="str">
        <f t="shared" si="35"/>
        <v/>
      </c>
      <c r="AM18" s="49" t="str">
        <f t="shared" si="35"/>
        <v/>
      </c>
      <c r="AN18" s="49" t="str">
        <f t="shared" si="35"/>
        <v/>
      </c>
      <c r="AO18" s="49" t="str">
        <f t="shared" si="35"/>
        <v/>
      </c>
      <c r="AP18" s="49" t="str">
        <f t="shared" si="35"/>
        <v/>
      </c>
      <c r="AQ18" s="49" t="str">
        <f t="shared" si="35"/>
        <v/>
      </c>
      <c r="AR18" s="49" t="str">
        <f t="shared" si="35"/>
        <v/>
      </c>
      <c r="AS18" s="49" t="str">
        <f t="shared" si="35"/>
        <v/>
      </c>
      <c r="AT18" s="49" t="str">
        <f t="shared" si="35"/>
        <v/>
      </c>
      <c r="AU18" s="49" t="str">
        <f t="shared" si="35"/>
        <v/>
      </c>
      <c r="AV18" s="49" t="str">
        <f t="shared" si="35"/>
        <v/>
      </c>
      <c r="AW18" s="49" t="str">
        <f t="shared" si="35"/>
        <v/>
      </c>
      <c r="AX18" s="49" t="str">
        <f t="shared" si="35"/>
        <v/>
      </c>
      <c r="AY18" s="49" t="str">
        <f t="shared" si="35"/>
        <v/>
      </c>
      <c r="AZ18" s="49" t="str">
        <f t="shared" si="35"/>
        <v/>
      </c>
      <c r="BA18" s="49" t="str">
        <f t="shared" si="35"/>
        <v/>
      </c>
      <c r="BB18" s="49" t="str">
        <f t="shared" si="35"/>
        <v/>
      </c>
      <c r="BC18" s="49" t="str">
        <f t="shared" si="35"/>
        <v/>
      </c>
      <c r="BD18" s="49" t="str">
        <f t="shared" si="35"/>
        <v/>
      </c>
      <c r="BE18" s="49" t="str">
        <f t="shared" si="35"/>
        <v/>
      </c>
      <c r="BF18" s="49" t="str">
        <f t="shared" si="35"/>
        <v/>
      </c>
      <c r="BG18" s="49" t="str">
        <f t="shared" si="35"/>
        <v/>
      </c>
      <c r="BH18" s="49" t="str">
        <f t="shared" si="35"/>
        <v/>
      </c>
      <c r="BI18" s="49" t="str">
        <f t="shared" si="35"/>
        <v/>
      </c>
      <c r="BJ18" s="49" t="str">
        <f t="shared" si="35"/>
        <v/>
      </c>
      <c r="BK18" s="49" t="str">
        <f t="shared" si="35"/>
        <v/>
      </c>
      <c r="BL18" s="49" t="str">
        <f t="shared" si="35"/>
        <v/>
      </c>
      <c r="BM18" s="49" t="str">
        <f t="shared" si="35"/>
        <v/>
      </c>
      <c r="BN18" s="49" t="str">
        <f t="shared" si="35"/>
        <v/>
      </c>
      <c r="BO18" s="49" t="str">
        <f t="shared" si="35"/>
        <v/>
      </c>
      <c r="BP18" s="49" t="str">
        <f t="shared" si="35"/>
        <v/>
      </c>
      <c r="BQ18" s="49" t="str">
        <f t="shared" si="35"/>
        <v/>
      </c>
      <c r="BR18" s="49" t="str">
        <f t="shared" si="35"/>
        <v/>
      </c>
      <c r="BS18" s="49" t="str">
        <f t="shared" si="35"/>
        <v/>
      </c>
      <c r="BT18" s="49" t="str">
        <f t="shared" si="35"/>
        <v/>
      </c>
      <c r="BU18" s="49" t="str">
        <f t="shared" si="35"/>
        <v/>
      </c>
      <c r="BV18" s="49" t="str">
        <f t="shared" si="35"/>
        <v/>
      </c>
      <c r="BW18" s="49" t="str">
        <f t="shared" si="35"/>
        <v/>
      </c>
      <c r="BX18" s="49" t="str">
        <f t="shared" si="35"/>
        <v/>
      </c>
      <c r="BY18" s="49" t="str">
        <f t="shared" si="35"/>
        <v/>
      </c>
      <c r="BZ18" s="49" t="str">
        <f t="shared" si="35"/>
        <v/>
      </c>
      <c r="CA18" s="49" t="str">
        <f t="shared" si="35"/>
        <v/>
      </c>
      <c r="CB18" s="49" t="str">
        <f t="shared" si="35"/>
        <v/>
      </c>
      <c r="CC18" s="49" t="str">
        <f t="shared" si="35"/>
        <v/>
      </c>
      <c r="CD18" s="49" t="str">
        <f t="shared" si="35"/>
        <v/>
      </c>
      <c r="CE18" s="49" t="str">
        <f t="shared" si="35"/>
        <v/>
      </c>
      <c r="CF18" s="49" t="str">
        <f t="shared" si="35"/>
        <v/>
      </c>
      <c r="CG18" s="49" t="str">
        <f t="shared" si="35"/>
        <v/>
      </c>
      <c r="CH18" s="49" t="str">
        <f t="shared" si="35"/>
        <v/>
      </c>
      <c r="CI18" s="49" t="str">
        <f t="shared" si="35"/>
        <v/>
      </c>
      <c r="CJ18" s="49" t="str">
        <f t="shared" si="35"/>
        <v/>
      </c>
      <c r="CK18" s="49" t="str">
        <f t="shared" si="35"/>
        <v/>
      </c>
      <c r="CL18" s="49" t="str">
        <f t="shared" si="35"/>
        <v/>
      </c>
      <c r="CM18" s="49" t="str">
        <f t="shared" si="35"/>
        <v/>
      </c>
      <c r="CN18" s="49" t="str">
        <f t="shared" si="35"/>
        <v/>
      </c>
      <c r="CO18" s="49" t="str">
        <f t="shared" si="35"/>
        <v/>
      </c>
      <c r="CP18" s="49" t="str">
        <f t="shared" si="35"/>
        <v/>
      </c>
      <c r="CQ18" s="49" t="str">
        <f t="shared" si="35"/>
        <v/>
      </c>
      <c r="CR18" s="49" t="str">
        <f t="shared" si="35"/>
        <v/>
      </c>
      <c r="CS18" s="49" t="str">
        <f t="shared" si="35"/>
        <v/>
      </c>
      <c r="CT18" s="49" t="str">
        <f t="shared" si="35"/>
        <v/>
      </c>
      <c r="CU18" s="49" t="str">
        <f t="shared" si="35"/>
        <v/>
      </c>
      <c r="CV18" s="49" t="str">
        <f t="shared" si="35"/>
        <v/>
      </c>
      <c r="CW18" s="49" t="str">
        <f t="shared" si="35"/>
        <v/>
      </c>
      <c r="CX18" s="49" t="str">
        <f t="shared" si="35"/>
        <v/>
      </c>
      <c r="CY18" s="49" t="str">
        <f t="shared" si="35"/>
        <v/>
      </c>
      <c r="CZ18" s="49" t="str">
        <f t="shared" si="35"/>
        <v/>
      </c>
      <c r="DA18" s="49" t="str">
        <f t="shared" si="35"/>
        <v/>
      </c>
      <c r="DB18" s="49" t="str">
        <f t="shared" si="35"/>
        <v/>
      </c>
      <c r="DC18" s="49" t="str">
        <f t="shared" si="35"/>
        <v/>
      </c>
      <c r="DD18" s="49" t="str">
        <f t="shared" si="35"/>
        <v/>
      </c>
      <c r="DE18" s="49" t="str">
        <f t="shared" si="35"/>
        <v/>
      </c>
      <c r="DF18" s="49" t="str">
        <f t="shared" si="35"/>
        <v/>
      </c>
      <c r="DG18" s="49" t="str">
        <f t="shared" si="35"/>
        <v/>
      </c>
      <c r="DH18" s="49" t="str">
        <f t="shared" si="35"/>
        <v/>
      </c>
      <c r="DI18" s="49" t="str">
        <f t="shared" si="35"/>
        <v/>
      </c>
      <c r="DJ18" s="49" t="str">
        <f t="shared" si="35"/>
        <v/>
      </c>
    </row>
    <row r="19" spans="1:114" ht="15.75" customHeight="1" x14ac:dyDescent="0.55000000000000004">
      <c r="A19" s="41">
        <f>MASANIELLO!C21</f>
        <v>0</v>
      </c>
      <c r="B19" s="41" t="e">
        <f t="shared" si="25"/>
        <v>#VALUE!</v>
      </c>
      <c r="C19" s="42" t="e">
        <f t="shared" si="26"/>
        <v>#VALUE!</v>
      </c>
      <c r="D19" s="42" t="e">
        <f t="shared" si="27"/>
        <v>#VALUE!</v>
      </c>
      <c r="E19" s="42" t="e">
        <f t="shared" si="28"/>
        <v>#VALUE!</v>
      </c>
      <c r="F19" s="42" t="e">
        <f t="shared" si="29"/>
        <v>#VALUE!</v>
      </c>
      <c r="G19" s="50" t="e">
        <f t="shared" si="30"/>
        <v>#VALUE!</v>
      </c>
      <c r="H19" s="41" t="e">
        <f t="shared" si="31"/>
        <v>#VALUE!</v>
      </c>
      <c r="I19" s="41" t="e">
        <f t="shared" si="32"/>
        <v>#VALUE!</v>
      </c>
      <c r="J19" s="45" t="e">
        <f t="shared" si="10"/>
        <v>#VALUE!</v>
      </c>
      <c r="M19" s="48" t="b">
        <f t="shared" si="11"/>
        <v>0</v>
      </c>
      <c r="N19" s="49" t="e">
        <f t="shared" ref="N19:DJ19" si="36">IF(N$1&gt;$L$2,   "",   IF(N$1=$L$2,  1,  IF($L$2-N$1=$L$1-$M19, $L$3^($L$1-$M19), ($L$3*N20*O20/(N20+($L$3-1)*O20) ))))</f>
        <v>#DIV/0!</v>
      </c>
      <c r="O19" s="49" t="e">
        <f t="shared" si="36"/>
        <v>#DIV/0!</v>
      </c>
      <c r="P19" s="49" t="e">
        <f t="shared" si="36"/>
        <v>#DIV/0!</v>
      </c>
      <c r="Q19" s="49" t="e">
        <f t="shared" si="36"/>
        <v>#DIV/0!</v>
      </c>
      <c r="R19" s="49">
        <f t="shared" si="36"/>
        <v>1</v>
      </c>
      <c r="S19" s="49" t="str">
        <f t="shared" si="36"/>
        <v/>
      </c>
      <c r="T19" s="49" t="str">
        <f t="shared" si="36"/>
        <v/>
      </c>
      <c r="U19" s="49" t="str">
        <f t="shared" si="36"/>
        <v/>
      </c>
      <c r="V19" s="49" t="str">
        <f t="shared" si="36"/>
        <v/>
      </c>
      <c r="W19" s="49" t="str">
        <f t="shared" si="36"/>
        <v/>
      </c>
      <c r="X19" s="49" t="str">
        <f t="shared" si="36"/>
        <v/>
      </c>
      <c r="Y19" s="49" t="str">
        <f t="shared" si="36"/>
        <v/>
      </c>
      <c r="Z19" s="49" t="str">
        <f t="shared" si="36"/>
        <v/>
      </c>
      <c r="AA19" s="49" t="str">
        <f t="shared" si="36"/>
        <v/>
      </c>
      <c r="AB19" s="49" t="str">
        <f t="shared" si="36"/>
        <v/>
      </c>
      <c r="AC19" s="49" t="str">
        <f t="shared" si="36"/>
        <v/>
      </c>
      <c r="AD19" s="49" t="str">
        <f t="shared" si="36"/>
        <v/>
      </c>
      <c r="AE19" s="49" t="str">
        <f t="shared" si="36"/>
        <v/>
      </c>
      <c r="AF19" s="49" t="str">
        <f t="shared" si="36"/>
        <v/>
      </c>
      <c r="AG19" s="49" t="str">
        <f t="shared" si="36"/>
        <v/>
      </c>
      <c r="AH19" s="49" t="str">
        <f t="shared" si="36"/>
        <v/>
      </c>
      <c r="AI19" s="49" t="str">
        <f t="shared" si="36"/>
        <v/>
      </c>
      <c r="AJ19" s="49" t="str">
        <f t="shared" si="36"/>
        <v/>
      </c>
      <c r="AK19" s="49" t="str">
        <f t="shared" si="36"/>
        <v/>
      </c>
      <c r="AL19" s="49" t="str">
        <f t="shared" si="36"/>
        <v/>
      </c>
      <c r="AM19" s="49" t="str">
        <f t="shared" si="36"/>
        <v/>
      </c>
      <c r="AN19" s="49" t="str">
        <f t="shared" si="36"/>
        <v/>
      </c>
      <c r="AO19" s="49" t="str">
        <f t="shared" si="36"/>
        <v/>
      </c>
      <c r="AP19" s="49" t="str">
        <f t="shared" si="36"/>
        <v/>
      </c>
      <c r="AQ19" s="49" t="str">
        <f t="shared" si="36"/>
        <v/>
      </c>
      <c r="AR19" s="49" t="str">
        <f t="shared" si="36"/>
        <v/>
      </c>
      <c r="AS19" s="49" t="str">
        <f t="shared" si="36"/>
        <v/>
      </c>
      <c r="AT19" s="49" t="str">
        <f t="shared" si="36"/>
        <v/>
      </c>
      <c r="AU19" s="49" t="str">
        <f t="shared" si="36"/>
        <v/>
      </c>
      <c r="AV19" s="49" t="str">
        <f t="shared" si="36"/>
        <v/>
      </c>
      <c r="AW19" s="49" t="str">
        <f t="shared" si="36"/>
        <v/>
      </c>
      <c r="AX19" s="49" t="str">
        <f t="shared" si="36"/>
        <v/>
      </c>
      <c r="AY19" s="49" t="str">
        <f t="shared" si="36"/>
        <v/>
      </c>
      <c r="AZ19" s="49" t="str">
        <f t="shared" si="36"/>
        <v/>
      </c>
      <c r="BA19" s="49" t="str">
        <f t="shared" si="36"/>
        <v/>
      </c>
      <c r="BB19" s="49" t="str">
        <f t="shared" si="36"/>
        <v/>
      </c>
      <c r="BC19" s="49" t="str">
        <f t="shared" si="36"/>
        <v/>
      </c>
      <c r="BD19" s="49" t="str">
        <f t="shared" si="36"/>
        <v/>
      </c>
      <c r="BE19" s="49" t="str">
        <f t="shared" si="36"/>
        <v/>
      </c>
      <c r="BF19" s="49" t="str">
        <f t="shared" si="36"/>
        <v/>
      </c>
      <c r="BG19" s="49" t="str">
        <f t="shared" si="36"/>
        <v/>
      </c>
      <c r="BH19" s="49" t="str">
        <f t="shared" si="36"/>
        <v/>
      </c>
      <c r="BI19" s="49" t="str">
        <f t="shared" si="36"/>
        <v/>
      </c>
      <c r="BJ19" s="49" t="str">
        <f t="shared" si="36"/>
        <v/>
      </c>
      <c r="BK19" s="49" t="str">
        <f t="shared" si="36"/>
        <v/>
      </c>
      <c r="BL19" s="49" t="str">
        <f t="shared" si="36"/>
        <v/>
      </c>
      <c r="BM19" s="49" t="str">
        <f t="shared" si="36"/>
        <v/>
      </c>
      <c r="BN19" s="49" t="str">
        <f t="shared" si="36"/>
        <v/>
      </c>
      <c r="BO19" s="49" t="str">
        <f t="shared" si="36"/>
        <v/>
      </c>
      <c r="BP19" s="49" t="str">
        <f t="shared" si="36"/>
        <v/>
      </c>
      <c r="BQ19" s="49" t="str">
        <f t="shared" si="36"/>
        <v/>
      </c>
      <c r="BR19" s="49" t="str">
        <f t="shared" si="36"/>
        <v/>
      </c>
      <c r="BS19" s="49" t="str">
        <f t="shared" si="36"/>
        <v/>
      </c>
      <c r="BT19" s="49" t="str">
        <f t="shared" si="36"/>
        <v/>
      </c>
      <c r="BU19" s="49" t="str">
        <f t="shared" si="36"/>
        <v/>
      </c>
      <c r="BV19" s="49" t="str">
        <f t="shared" si="36"/>
        <v/>
      </c>
      <c r="BW19" s="49" t="str">
        <f t="shared" si="36"/>
        <v/>
      </c>
      <c r="BX19" s="49" t="str">
        <f t="shared" si="36"/>
        <v/>
      </c>
      <c r="BY19" s="49" t="str">
        <f t="shared" si="36"/>
        <v/>
      </c>
      <c r="BZ19" s="49" t="str">
        <f t="shared" si="36"/>
        <v/>
      </c>
      <c r="CA19" s="49" t="str">
        <f t="shared" si="36"/>
        <v/>
      </c>
      <c r="CB19" s="49" t="str">
        <f t="shared" si="36"/>
        <v/>
      </c>
      <c r="CC19" s="49" t="str">
        <f t="shared" si="36"/>
        <v/>
      </c>
      <c r="CD19" s="49" t="str">
        <f t="shared" si="36"/>
        <v/>
      </c>
      <c r="CE19" s="49" t="str">
        <f t="shared" si="36"/>
        <v/>
      </c>
      <c r="CF19" s="49" t="str">
        <f t="shared" si="36"/>
        <v/>
      </c>
      <c r="CG19" s="49" t="str">
        <f t="shared" si="36"/>
        <v/>
      </c>
      <c r="CH19" s="49" t="str">
        <f t="shared" si="36"/>
        <v/>
      </c>
      <c r="CI19" s="49" t="str">
        <f t="shared" si="36"/>
        <v/>
      </c>
      <c r="CJ19" s="49" t="str">
        <f t="shared" si="36"/>
        <v/>
      </c>
      <c r="CK19" s="49" t="str">
        <f t="shared" si="36"/>
        <v/>
      </c>
      <c r="CL19" s="49" t="str">
        <f t="shared" si="36"/>
        <v/>
      </c>
      <c r="CM19" s="49" t="str">
        <f t="shared" si="36"/>
        <v/>
      </c>
      <c r="CN19" s="49" t="str">
        <f t="shared" si="36"/>
        <v/>
      </c>
      <c r="CO19" s="49" t="str">
        <f t="shared" si="36"/>
        <v/>
      </c>
      <c r="CP19" s="49" t="str">
        <f t="shared" si="36"/>
        <v/>
      </c>
      <c r="CQ19" s="49" t="str">
        <f t="shared" si="36"/>
        <v/>
      </c>
      <c r="CR19" s="49" t="str">
        <f t="shared" si="36"/>
        <v/>
      </c>
      <c r="CS19" s="49" t="str">
        <f t="shared" si="36"/>
        <v/>
      </c>
      <c r="CT19" s="49" t="str">
        <f t="shared" si="36"/>
        <v/>
      </c>
      <c r="CU19" s="49" t="str">
        <f t="shared" si="36"/>
        <v/>
      </c>
      <c r="CV19" s="49" t="str">
        <f t="shared" si="36"/>
        <v/>
      </c>
      <c r="CW19" s="49" t="str">
        <f t="shared" si="36"/>
        <v/>
      </c>
      <c r="CX19" s="49" t="str">
        <f t="shared" si="36"/>
        <v/>
      </c>
      <c r="CY19" s="49" t="str">
        <f t="shared" si="36"/>
        <v/>
      </c>
      <c r="CZ19" s="49" t="str">
        <f t="shared" si="36"/>
        <v/>
      </c>
      <c r="DA19" s="49" t="str">
        <f t="shared" si="36"/>
        <v/>
      </c>
      <c r="DB19" s="49" t="str">
        <f t="shared" si="36"/>
        <v/>
      </c>
      <c r="DC19" s="49" t="str">
        <f t="shared" si="36"/>
        <v/>
      </c>
      <c r="DD19" s="49" t="str">
        <f t="shared" si="36"/>
        <v/>
      </c>
      <c r="DE19" s="49" t="str">
        <f t="shared" si="36"/>
        <v/>
      </c>
      <c r="DF19" s="49" t="str">
        <f t="shared" si="36"/>
        <v/>
      </c>
      <c r="DG19" s="49" t="str">
        <f t="shared" si="36"/>
        <v/>
      </c>
      <c r="DH19" s="49" t="str">
        <f t="shared" si="36"/>
        <v/>
      </c>
      <c r="DI19" s="49" t="str">
        <f t="shared" si="36"/>
        <v/>
      </c>
      <c r="DJ19" s="49" t="str">
        <f t="shared" si="36"/>
        <v/>
      </c>
    </row>
    <row r="20" spans="1:114" ht="15.75" customHeight="1" x14ac:dyDescent="0.55000000000000004">
      <c r="A20" s="41">
        <f>MASANIELLO!C22</f>
        <v>0</v>
      </c>
      <c r="B20" s="41" t="e">
        <f t="shared" si="25"/>
        <v>#VALUE!</v>
      </c>
      <c r="C20" s="42" t="e">
        <f t="shared" si="26"/>
        <v>#VALUE!</v>
      </c>
      <c r="D20" s="42" t="e">
        <f t="shared" si="27"/>
        <v>#VALUE!</v>
      </c>
      <c r="E20" s="42" t="e">
        <f t="shared" si="28"/>
        <v>#VALUE!</v>
      </c>
      <c r="F20" s="42" t="e">
        <f t="shared" si="29"/>
        <v>#VALUE!</v>
      </c>
      <c r="G20" s="50" t="e">
        <f t="shared" si="30"/>
        <v>#VALUE!</v>
      </c>
      <c r="H20" s="41" t="e">
        <f t="shared" si="31"/>
        <v>#VALUE!</v>
      </c>
      <c r="I20" s="41" t="e">
        <f t="shared" si="32"/>
        <v>#VALUE!</v>
      </c>
      <c r="J20" s="45" t="e">
        <f t="shared" si="10"/>
        <v>#VALUE!</v>
      </c>
      <c r="M20" s="48" t="b">
        <f t="shared" si="11"/>
        <v>0</v>
      </c>
      <c r="N20" s="49" t="e">
        <f t="shared" ref="N20:DJ20" si="37">IF(N$1&gt;$L$2,   "",   IF(N$1=$L$2,  1,  IF($L$2-N$1=$L$1-$M20, $L$3^($L$1-$M20), ($L$3*N21*O21/(N21+($L$3-1)*O21) ))))</f>
        <v>#DIV/0!</v>
      </c>
      <c r="O20" s="49" t="e">
        <f t="shared" si="37"/>
        <v>#DIV/0!</v>
      </c>
      <c r="P20" s="49" t="e">
        <f t="shared" si="37"/>
        <v>#DIV/0!</v>
      </c>
      <c r="Q20" s="49" t="e">
        <f t="shared" si="37"/>
        <v>#DIV/0!</v>
      </c>
      <c r="R20" s="49">
        <f t="shared" si="37"/>
        <v>1</v>
      </c>
      <c r="S20" s="49" t="str">
        <f t="shared" si="37"/>
        <v/>
      </c>
      <c r="T20" s="49" t="str">
        <f t="shared" si="37"/>
        <v/>
      </c>
      <c r="U20" s="49" t="str">
        <f t="shared" si="37"/>
        <v/>
      </c>
      <c r="V20" s="49" t="str">
        <f t="shared" si="37"/>
        <v/>
      </c>
      <c r="W20" s="49" t="str">
        <f t="shared" si="37"/>
        <v/>
      </c>
      <c r="X20" s="49" t="str">
        <f t="shared" si="37"/>
        <v/>
      </c>
      <c r="Y20" s="49" t="str">
        <f t="shared" si="37"/>
        <v/>
      </c>
      <c r="Z20" s="49" t="str">
        <f t="shared" si="37"/>
        <v/>
      </c>
      <c r="AA20" s="49" t="str">
        <f t="shared" si="37"/>
        <v/>
      </c>
      <c r="AB20" s="49" t="str">
        <f t="shared" si="37"/>
        <v/>
      </c>
      <c r="AC20" s="49" t="str">
        <f t="shared" si="37"/>
        <v/>
      </c>
      <c r="AD20" s="49" t="str">
        <f t="shared" si="37"/>
        <v/>
      </c>
      <c r="AE20" s="49" t="str">
        <f t="shared" si="37"/>
        <v/>
      </c>
      <c r="AF20" s="49" t="str">
        <f t="shared" si="37"/>
        <v/>
      </c>
      <c r="AG20" s="49" t="str">
        <f t="shared" si="37"/>
        <v/>
      </c>
      <c r="AH20" s="49" t="str">
        <f t="shared" si="37"/>
        <v/>
      </c>
      <c r="AI20" s="49" t="str">
        <f t="shared" si="37"/>
        <v/>
      </c>
      <c r="AJ20" s="49" t="str">
        <f t="shared" si="37"/>
        <v/>
      </c>
      <c r="AK20" s="49" t="str">
        <f t="shared" si="37"/>
        <v/>
      </c>
      <c r="AL20" s="49" t="str">
        <f t="shared" si="37"/>
        <v/>
      </c>
      <c r="AM20" s="49" t="str">
        <f t="shared" si="37"/>
        <v/>
      </c>
      <c r="AN20" s="49" t="str">
        <f t="shared" si="37"/>
        <v/>
      </c>
      <c r="AO20" s="49" t="str">
        <f t="shared" si="37"/>
        <v/>
      </c>
      <c r="AP20" s="49" t="str">
        <f t="shared" si="37"/>
        <v/>
      </c>
      <c r="AQ20" s="49" t="str">
        <f t="shared" si="37"/>
        <v/>
      </c>
      <c r="AR20" s="49" t="str">
        <f t="shared" si="37"/>
        <v/>
      </c>
      <c r="AS20" s="49" t="str">
        <f t="shared" si="37"/>
        <v/>
      </c>
      <c r="AT20" s="49" t="str">
        <f t="shared" si="37"/>
        <v/>
      </c>
      <c r="AU20" s="49" t="str">
        <f t="shared" si="37"/>
        <v/>
      </c>
      <c r="AV20" s="49" t="str">
        <f t="shared" si="37"/>
        <v/>
      </c>
      <c r="AW20" s="49" t="str">
        <f t="shared" si="37"/>
        <v/>
      </c>
      <c r="AX20" s="49" t="str">
        <f t="shared" si="37"/>
        <v/>
      </c>
      <c r="AY20" s="49" t="str">
        <f t="shared" si="37"/>
        <v/>
      </c>
      <c r="AZ20" s="49" t="str">
        <f t="shared" si="37"/>
        <v/>
      </c>
      <c r="BA20" s="49" t="str">
        <f t="shared" si="37"/>
        <v/>
      </c>
      <c r="BB20" s="49" t="str">
        <f t="shared" si="37"/>
        <v/>
      </c>
      <c r="BC20" s="49" t="str">
        <f t="shared" si="37"/>
        <v/>
      </c>
      <c r="BD20" s="49" t="str">
        <f t="shared" si="37"/>
        <v/>
      </c>
      <c r="BE20" s="49" t="str">
        <f t="shared" si="37"/>
        <v/>
      </c>
      <c r="BF20" s="49" t="str">
        <f t="shared" si="37"/>
        <v/>
      </c>
      <c r="BG20" s="49" t="str">
        <f t="shared" si="37"/>
        <v/>
      </c>
      <c r="BH20" s="49" t="str">
        <f t="shared" si="37"/>
        <v/>
      </c>
      <c r="BI20" s="49" t="str">
        <f t="shared" si="37"/>
        <v/>
      </c>
      <c r="BJ20" s="49" t="str">
        <f t="shared" si="37"/>
        <v/>
      </c>
      <c r="BK20" s="49" t="str">
        <f t="shared" si="37"/>
        <v/>
      </c>
      <c r="BL20" s="49" t="str">
        <f t="shared" si="37"/>
        <v/>
      </c>
      <c r="BM20" s="49" t="str">
        <f t="shared" si="37"/>
        <v/>
      </c>
      <c r="BN20" s="49" t="str">
        <f t="shared" si="37"/>
        <v/>
      </c>
      <c r="BO20" s="49" t="str">
        <f t="shared" si="37"/>
        <v/>
      </c>
      <c r="BP20" s="49" t="str">
        <f t="shared" si="37"/>
        <v/>
      </c>
      <c r="BQ20" s="49" t="str">
        <f t="shared" si="37"/>
        <v/>
      </c>
      <c r="BR20" s="49" t="str">
        <f t="shared" si="37"/>
        <v/>
      </c>
      <c r="BS20" s="49" t="str">
        <f t="shared" si="37"/>
        <v/>
      </c>
      <c r="BT20" s="49" t="str">
        <f t="shared" si="37"/>
        <v/>
      </c>
      <c r="BU20" s="49" t="str">
        <f t="shared" si="37"/>
        <v/>
      </c>
      <c r="BV20" s="49" t="str">
        <f t="shared" si="37"/>
        <v/>
      </c>
      <c r="BW20" s="49" t="str">
        <f t="shared" si="37"/>
        <v/>
      </c>
      <c r="BX20" s="49" t="str">
        <f t="shared" si="37"/>
        <v/>
      </c>
      <c r="BY20" s="49" t="str">
        <f t="shared" si="37"/>
        <v/>
      </c>
      <c r="BZ20" s="49" t="str">
        <f t="shared" si="37"/>
        <v/>
      </c>
      <c r="CA20" s="49" t="str">
        <f t="shared" si="37"/>
        <v/>
      </c>
      <c r="CB20" s="49" t="str">
        <f t="shared" si="37"/>
        <v/>
      </c>
      <c r="CC20" s="49" t="str">
        <f t="shared" si="37"/>
        <v/>
      </c>
      <c r="CD20" s="49" t="str">
        <f t="shared" si="37"/>
        <v/>
      </c>
      <c r="CE20" s="49" t="str">
        <f t="shared" si="37"/>
        <v/>
      </c>
      <c r="CF20" s="49" t="str">
        <f t="shared" si="37"/>
        <v/>
      </c>
      <c r="CG20" s="49" t="str">
        <f t="shared" si="37"/>
        <v/>
      </c>
      <c r="CH20" s="49" t="str">
        <f t="shared" si="37"/>
        <v/>
      </c>
      <c r="CI20" s="49" t="str">
        <f t="shared" si="37"/>
        <v/>
      </c>
      <c r="CJ20" s="49" t="str">
        <f t="shared" si="37"/>
        <v/>
      </c>
      <c r="CK20" s="49" t="str">
        <f t="shared" si="37"/>
        <v/>
      </c>
      <c r="CL20" s="49" t="str">
        <f t="shared" si="37"/>
        <v/>
      </c>
      <c r="CM20" s="49" t="str">
        <f t="shared" si="37"/>
        <v/>
      </c>
      <c r="CN20" s="49" t="str">
        <f t="shared" si="37"/>
        <v/>
      </c>
      <c r="CO20" s="49" t="str">
        <f t="shared" si="37"/>
        <v/>
      </c>
      <c r="CP20" s="49" t="str">
        <f t="shared" si="37"/>
        <v/>
      </c>
      <c r="CQ20" s="49" t="str">
        <f t="shared" si="37"/>
        <v/>
      </c>
      <c r="CR20" s="49" t="str">
        <f t="shared" si="37"/>
        <v/>
      </c>
      <c r="CS20" s="49" t="str">
        <f t="shared" si="37"/>
        <v/>
      </c>
      <c r="CT20" s="49" t="str">
        <f t="shared" si="37"/>
        <v/>
      </c>
      <c r="CU20" s="49" t="str">
        <f t="shared" si="37"/>
        <v/>
      </c>
      <c r="CV20" s="49" t="str">
        <f t="shared" si="37"/>
        <v/>
      </c>
      <c r="CW20" s="49" t="str">
        <f t="shared" si="37"/>
        <v/>
      </c>
      <c r="CX20" s="49" t="str">
        <f t="shared" si="37"/>
        <v/>
      </c>
      <c r="CY20" s="49" t="str">
        <f t="shared" si="37"/>
        <v/>
      </c>
      <c r="CZ20" s="49" t="str">
        <f t="shared" si="37"/>
        <v/>
      </c>
      <c r="DA20" s="49" t="str">
        <f t="shared" si="37"/>
        <v/>
      </c>
      <c r="DB20" s="49" t="str">
        <f t="shared" si="37"/>
        <v/>
      </c>
      <c r="DC20" s="49" t="str">
        <f t="shared" si="37"/>
        <v/>
      </c>
      <c r="DD20" s="49" t="str">
        <f t="shared" si="37"/>
        <v/>
      </c>
      <c r="DE20" s="49" t="str">
        <f t="shared" si="37"/>
        <v/>
      </c>
      <c r="DF20" s="49" t="str">
        <f t="shared" si="37"/>
        <v/>
      </c>
      <c r="DG20" s="49" t="str">
        <f t="shared" si="37"/>
        <v/>
      </c>
      <c r="DH20" s="49" t="str">
        <f t="shared" si="37"/>
        <v/>
      </c>
      <c r="DI20" s="49" t="str">
        <f t="shared" si="37"/>
        <v/>
      </c>
      <c r="DJ20" s="49" t="str">
        <f t="shared" si="37"/>
        <v/>
      </c>
    </row>
    <row r="21" spans="1:114" ht="15.75" customHeight="1" x14ac:dyDescent="0.55000000000000004">
      <c r="A21" s="41">
        <f>MASANIELLO!C23</f>
        <v>0</v>
      </c>
      <c r="B21" s="41" t="e">
        <f t="shared" si="25"/>
        <v>#VALUE!</v>
      </c>
      <c r="C21" s="42" t="e">
        <f t="shared" si="26"/>
        <v>#VALUE!</v>
      </c>
      <c r="D21" s="42" t="e">
        <f t="shared" si="27"/>
        <v>#VALUE!</v>
      </c>
      <c r="E21" s="42" t="e">
        <f t="shared" si="28"/>
        <v>#VALUE!</v>
      </c>
      <c r="F21" s="42" t="e">
        <f t="shared" si="29"/>
        <v>#VALUE!</v>
      </c>
      <c r="G21" s="50" t="e">
        <f t="shared" si="30"/>
        <v>#VALUE!</v>
      </c>
      <c r="H21" s="41" t="e">
        <f t="shared" si="31"/>
        <v>#VALUE!</v>
      </c>
      <c r="I21" s="41" t="e">
        <f t="shared" si="32"/>
        <v>#VALUE!</v>
      </c>
      <c r="J21" s="45" t="e">
        <f t="shared" si="10"/>
        <v>#VALUE!</v>
      </c>
      <c r="M21" s="48" t="b">
        <f t="shared" si="11"/>
        <v>0</v>
      </c>
      <c r="N21" s="49" t="e">
        <f t="shared" ref="N21:DJ21" si="38">IF(N$1&gt;$L$2,   "",   IF(N$1=$L$2,  1,  IF($L$2-N$1=$L$1-$M21, $L$3^($L$1-$M21), ($L$3*N22*O22/(N22+($L$3-1)*O22) ))))</f>
        <v>#DIV/0!</v>
      </c>
      <c r="O21" s="49" t="e">
        <f t="shared" si="38"/>
        <v>#DIV/0!</v>
      </c>
      <c r="P21" s="49" t="e">
        <f t="shared" si="38"/>
        <v>#DIV/0!</v>
      </c>
      <c r="Q21" s="49" t="e">
        <f t="shared" si="38"/>
        <v>#DIV/0!</v>
      </c>
      <c r="R21" s="49">
        <f t="shared" si="38"/>
        <v>1</v>
      </c>
      <c r="S21" s="49" t="str">
        <f t="shared" si="38"/>
        <v/>
      </c>
      <c r="T21" s="49" t="str">
        <f t="shared" si="38"/>
        <v/>
      </c>
      <c r="U21" s="49" t="str">
        <f t="shared" si="38"/>
        <v/>
      </c>
      <c r="V21" s="49" t="str">
        <f t="shared" si="38"/>
        <v/>
      </c>
      <c r="W21" s="49" t="str">
        <f t="shared" si="38"/>
        <v/>
      </c>
      <c r="X21" s="49" t="str">
        <f t="shared" si="38"/>
        <v/>
      </c>
      <c r="Y21" s="49" t="str">
        <f t="shared" si="38"/>
        <v/>
      </c>
      <c r="Z21" s="49" t="str">
        <f t="shared" si="38"/>
        <v/>
      </c>
      <c r="AA21" s="49" t="str">
        <f t="shared" si="38"/>
        <v/>
      </c>
      <c r="AB21" s="49" t="str">
        <f t="shared" si="38"/>
        <v/>
      </c>
      <c r="AC21" s="49" t="str">
        <f t="shared" si="38"/>
        <v/>
      </c>
      <c r="AD21" s="49" t="str">
        <f t="shared" si="38"/>
        <v/>
      </c>
      <c r="AE21" s="49" t="str">
        <f t="shared" si="38"/>
        <v/>
      </c>
      <c r="AF21" s="49" t="str">
        <f t="shared" si="38"/>
        <v/>
      </c>
      <c r="AG21" s="49" t="str">
        <f t="shared" si="38"/>
        <v/>
      </c>
      <c r="AH21" s="49" t="str">
        <f t="shared" si="38"/>
        <v/>
      </c>
      <c r="AI21" s="49" t="str">
        <f t="shared" si="38"/>
        <v/>
      </c>
      <c r="AJ21" s="49" t="str">
        <f t="shared" si="38"/>
        <v/>
      </c>
      <c r="AK21" s="49" t="str">
        <f t="shared" si="38"/>
        <v/>
      </c>
      <c r="AL21" s="49" t="str">
        <f t="shared" si="38"/>
        <v/>
      </c>
      <c r="AM21" s="49" t="str">
        <f t="shared" si="38"/>
        <v/>
      </c>
      <c r="AN21" s="49" t="str">
        <f t="shared" si="38"/>
        <v/>
      </c>
      <c r="AO21" s="49" t="str">
        <f t="shared" si="38"/>
        <v/>
      </c>
      <c r="AP21" s="49" t="str">
        <f t="shared" si="38"/>
        <v/>
      </c>
      <c r="AQ21" s="49" t="str">
        <f t="shared" si="38"/>
        <v/>
      </c>
      <c r="AR21" s="49" t="str">
        <f t="shared" si="38"/>
        <v/>
      </c>
      <c r="AS21" s="49" t="str">
        <f t="shared" si="38"/>
        <v/>
      </c>
      <c r="AT21" s="49" t="str">
        <f t="shared" si="38"/>
        <v/>
      </c>
      <c r="AU21" s="49" t="str">
        <f t="shared" si="38"/>
        <v/>
      </c>
      <c r="AV21" s="49" t="str">
        <f t="shared" si="38"/>
        <v/>
      </c>
      <c r="AW21" s="49" t="str">
        <f t="shared" si="38"/>
        <v/>
      </c>
      <c r="AX21" s="49" t="str">
        <f t="shared" si="38"/>
        <v/>
      </c>
      <c r="AY21" s="49" t="str">
        <f t="shared" si="38"/>
        <v/>
      </c>
      <c r="AZ21" s="49" t="str">
        <f t="shared" si="38"/>
        <v/>
      </c>
      <c r="BA21" s="49" t="str">
        <f t="shared" si="38"/>
        <v/>
      </c>
      <c r="BB21" s="49" t="str">
        <f t="shared" si="38"/>
        <v/>
      </c>
      <c r="BC21" s="49" t="str">
        <f t="shared" si="38"/>
        <v/>
      </c>
      <c r="BD21" s="49" t="str">
        <f t="shared" si="38"/>
        <v/>
      </c>
      <c r="BE21" s="49" t="str">
        <f t="shared" si="38"/>
        <v/>
      </c>
      <c r="BF21" s="49" t="str">
        <f t="shared" si="38"/>
        <v/>
      </c>
      <c r="BG21" s="49" t="str">
        <f t="shared" si="38"/>
        <v/>
      </c>
      <c r="BH21" s="49" t="str">
        <f t="shared" si="38"/>
        <v/>
      </c>
      <c r="BI21" s="49" t="str">
        <f t="shared" si="38"/>
        <v/>
      </c>
      <c r="BJ21" s="49" t="str">
        <f t="shared" si="38"/>
        <v/>
      </c>
      <c r="BK21" s="49" t="str">
        <f t="shared" si="38"/>
        <v/>
      </c>
      <c r="BL21" s="49" t="str">
        <f t="shared" si="38"/>
        <v/>
      </c>
      <c r="BM21" s="49" t="str">
        <f t="shared" si="38"/>
        <v/>
      </c>
      <c r="BN21" s="49" t="str">
        <f t="shared" si="38"/>
        <v/>
      </c>
      <c r="BO21" s="49" t="str">
        <f t="shared" si="38"/>
        <v/>
      </c>
      <c r="BP21" s="49" t="str">
        <f t="shared" si="38"/>
        <v/>
      </c>
      <c r="BQ21" s="49" t="str">
        <f t="shared" si="38"/>
        <v/>
      </c>
      <c r="BR21" s="49" t="str">
        <f t="shared" si="38"/>
        <v/>
      </c>
      <c r="BS21" s="49" t="str">
        <f t="shared" si="38"/>
        <v/>
      </c>
      <c r="BT21" s="49" t="str">
        <f t="shared" si="38"/>
        <v/>
      </c>
      <c r="BU21" s="49" t="str">
        <f t="shared" si="38"/>
        <v/>
      </c>
      <c r="BV21" s="49" t="str">
        <f t="shared" si="38"/>
        <v/>
      </c>
      <c r="BW21" s="49" t="str">
        <f t="shared" si="38"/>
        <v/>
      </c>
      <c r="BX21" s="49" t="str">
        <f t="shared" si="38"/>
        <v/>
      </c>
      <c r="BY21" s="49" t="str">
        <f t="shared" si="38"/>
        <v/>
      </c>
      <c r="BZ21" s="49" t="str">
        <f t="shared" si="38"/>
        <v/>
      </c>
      <c r="CA21" s="49" t="str">
        <f t="shared" si="38"/>
        <v/>
      </c>
      <c r="CB21" s="49" t="str">
        <f t="shared" si="38"/>
        <v/>
      </c>
      <c r="CC21" s="49" t="str">
        <f t="shared" si="38"/>
        <v/>
      </c>
      <c r="CD21" s="49" t="str">
        <f t="shared" si="38"/>
        <v/>
      </c>
      <c r="CE21" s="49" t="str">
        <f t="shared" si="38"/>
        <v/>
      </c>
      <c r="CF21" s="49" t="str">
        <f t="shared" si="38"/>
        <v/>
      </c>
      <c r="CG21" s="49" t="str">
        <f t="shared" si="38"/>
        <v/>
      </c>
      <c r="CH21" s="49" t="str">
        <f t="shared" si="38"/>
        <v/>
      </c>
      <c r="CI21" s="49" t="str">
        <f t="shared" si="38"/>
        <v/>
      </c>
      <c r="CJ21" s="49" t="str">
        <f t="shared" si="38"/>
        <v/>
      </c>
      <c r="CK21" s="49" t="str">
        <f t="shared" si="38"/>
        <v/>
      </c>
      <c r="CL21" s="49" t="str">
        <f t="shared" si="38"/>
        <v/>
      </c>
      <c r="CM21" s="49" t="str">
        <f t="shared" si="38"/>
        <v/>
      </c>
      <c r="CN21" s="49" t="str">
        <f t="shared" si="38"/>
        <v/>
      </c>
      <c r="CO21" s="49" t="str">
        <f t="shared" si="38"/>
        <v/>
      </c>
      <c r="CP21" s="49" t="str">
        <f t="shared" si="38"/>
        <v/>
      </c>
      <c r="CQ21" s="49" t="str">
        <f t="shared" si="38"/>
        <v/>
      </c>
      <c r="CR21" s="49" t="str">
        <f t="shared" si="38"/>
        <v/>
      </c>
      <c r="CS21" s="49" t="str">
        <f t="shared" si="38"/>
        <v/>
      </c>
      <c r="CT21" s="49" t="str">
        <f t="shared" si="38"/>
        <v/>
      </c>
      <c r="CU21" s="49" t="str">
        <f t="shared" si="38"/>
        <v/>
      </c>
      <c r="CV21" s="49" t="str">
        <f t="shared" si="38"/>
        <v/>
      </c>
      <c r="CW21" s="49" t="str">
        <f t="shared" si="38"/>
        <v/>
      </c>
      <c r="CX21" s="49" t="str">
        <f t="shared" si="38"/>
        <v/>
      </c>
      <c r="CY21" s="49" t="str">
        <f t="shared" si="38"/>
        <v/>
      </c>
      <c r="CZ21" s="49" t="str">
        <f t="shared" si="38"/>
        <v/>
      </c>
      <c r="DA21" s="49" t="str">
        <f t="shared" si="38"/>
        <v/>
      </c>
      <c r="DB21" s="49" t="str">
        <f t="shared" si="38"/>
        <v/>
      </c>
      <c r="DC21" s="49" t="str">
        <f t="shared" si="38"/>
        <v/>
      </c>
      <c r="DD21" s="49" t="str">
        <f t="shared" si="38"/>
        <v/>
      </c>
      <c r="DE21" s="49" t="str">
        <f t="shared" si="38"/>
        <v/>
      </c>
      <c r="DF21" s="49" t="str">
        <f t="shared" si="38"/>
        <v/>
      </c>
      <c r="DG21" s="49" t="str">
        <f t="shared" si="38"/>
        <v/>
      </c>
      <c r="DH21" s="49" t="str">
        <f t="shared" si="38"/>
        <v/>
      </c>
      <c r="DI21" s="49" t="str">
        <f t="shared" si="38"/>
        <v/>
      </c>
      <c r="DJ21" s="49" t="str">
        <f t="shared" si="38"/>
        <v/>
      </c>
    </row>
    <row r="22" spans="1:114" ht="15.75" customHeight="1" x14ac:dyDescent="0.55000000000000004">
      <c r="A22" s="41" t="e">
        <f>MASANIELLO!#REF!</f>
        <v>#REF!</v>
      </c>
      <c r="B22" s="41" t="e">
        <f t="shared" si="2"/>
        <v>#VALUE!</v>
      </c>
      <c r="C22" s="42" t="e">
        <f t="shared" si="3"/>
        <v>#VALUE!</v>
      </c>
      <c r="D22" s="42" t="e">
        <f t="shared" si="4"/>
        <v>#VALUE!</v>
      </c>
      <c r="E22" s="42" t="e">
        <f t="shared" si="5"/>
        <v>#VALUE!</v>
      </c>
      <c r="F22" s="42" t="e">
        <f t="shared" si="6"/>
        <v>#VALUE!</v>
      </c>
      <c r="G22" s="50" t="e">
        <f t="shared" si="7"/>
        <v>#VALUE!</v>
      </c>
      <c r="H22" s="41" t="e">
        <f t="shared" si="8"/>
        <v>#VALUE!</v>
      </c>
      <c r="I22" s="41" t="e">
        <f t="shared" si="9"/>
        <v>#VALUE!</v>
      </c>
      <c r="J22" s="45" t="e">
        <f t="shared" si="10"/>
        <v>#VALUE!</v>
      </c>
      <c r="M22" s="48" t="b">
        <f t="shared" si="11"/>
        <v>0</v>
      </c>
      <c r="N22" s="49" t="e">
        <f t="shared" ref="N22:DJ22" si="39">IF(N$1&gt;$L$2,   "",   IF(N$1=$L$2,  1,  IF($L$2-N$1=$L$1-$M22, $L$3^($L$1-$M22), ($L$3*N23*O23/(N23+($L$3-1)*O23) ))))</f>
        <v>#DIV/0!</v>
      </c>
      <c r="O22" s="49" t="e">
        <f t="shared" si="39"/>
        <v>#DIV/0!</v>
      </c>
      <c r="P22" s="49" t="e">
        <f t="shared" si="39"/>
        <v>#DIV/0!</v>
      </c>
      <c r="Q22" s="49" t="e">
        <f t="shared" si="39"/>
        <v>#DIV/0!</v>
      </c>
      <c r="R22" s="49">
        <f t="shared" si="39"/>
        <v>1</v>
      </c>
      <c r="S22" s="49" t="str">
        <f t="shared" si="39"/>
        <v/>
      </c>
      <c r="T22" s="49" t="str">
        <f t="shared" si="39"/>
        <v/>
      </c>
      <c r="U22" s="49" t="str">
        <f t="shared" si="39"/>
        <v/>
      </c>
      <c r="V22" s="49" t="str">
        <f t="shared" si="39"/>
        <v/>
      </c>
      <c r="W22" s="49" t="str">
        <f t="shared" si="39"/>
        <v/>
      </c>
      <c r="X22" s="49" t="str">
        <f t="shared" si="39"/>
        <v/>
      </c>
      <c r="Y22" s="49" t="str">
        <f t="shared" si="39"/>
        <v/>
      </c>
      <c r="Z22" s="49" t="str">
        <f t="shared" si="39"/>
        <v/>
      </c>
      <c r="AA22" s="49" t="str">
        <f t="shared" si="39"/>
        <v/>
      </c>
      <c r="AB22" s="49" t="str">
        <f t="shared" si="39"/>
        <v/>
      </c>
      <c r="AC22" s="49" t="str">
        <f t="shared" si="39"/>
        <v/>
      </c>
      <c r="AD22" s="49" t="str">
        <f t="shared" si="39"/>
        <v/>
      </c>
      <c r="AE22" s="49" t="str">
        <f t="shared" si="39"/>
        <v/>
      </c>
      <c r="AF22" s="49" t="str">
        <f t="shared" si="39"/>
        <v/>
      </c>
      <c r="AG22" s="49" t="str">
        <f t="shared" si="39"/>
        <v/>
      </c>
      <c r="AH22" s="49" t="str">
        <f t="shared" si="39"/>
        <v/>
      </c>
      <c r="AI22" s="49" t="str">
        <f t="shared" si="39"/>
        <v/>
      </c>
      <c r="AJ22" s="49" t="str">
        <f t="shared" si="39"/>
        <v/>
      </c>
      <c r="AK22" s="49" t="str">
        <f t="shared" si="39"/>
        <v/>
      </c>
      <c r="AL22" s="49" t="str">
        <f t="shared" si="39"/>
        <v/>
      </c>
      <c r="AM22" s="49" t="str">
        <f t="shared" si="39"/>
        <v/>
      </c>
      <c r="AN22" s="49" t="str">
        <f t="shared" si="39"/>
        <v/>
      </c>
      <c r="AO22" s="49" t="str">
        <f t="shared" si="39"/>
        <v/>
      </c>
      <c r="AP22" s="49" t="str">
        <f t="shared" si="39"/>
        <v/>
      </c>
      <c r="AQ22" s="49" t="str">
        <f t="shared" si="39"/>
        <v/>
      </c>
      <c r="AR22" s="49" t="str">
        <f t="shared" si="39"/>
        <v/>
      </c>
      <c r="AS22" s="49" t="str">
        <f t="shared" si="39"/>
        <v/>
      </c>
      <c r="AT22" s="49" t="str">
        <f t="shared" si="39"/>
        <v/>
      </c>
      <c r="AU22" s="49" t="str">
        <f t="shared" si="39"/>
        <v/>
      </c>
      <c r="AV22" s="49" t="str">
        <f t="shared" si="39"/>
        <v/>
      </c>
      <c r="AW22" s="49" t="str">
        <f t="shared" si="39"/>
        <v/>
      </c>
      <c r="AX22" s="49" t="str">
        <f t="shared" si="39"/>
        <v/>
      </c>
      <c r="AY22" s="49" t="str">
        <f t="shared" si="39"/>
        <v/>
      </c>
      <c r="AZ22" s="49" t="str">
        <f t="shared" si="39"/>
        <v/>
      </c>
      <c r="BA22" s="49" t="str">
        <f t="shared" si="39"/>
        <v/>
      </c>
      <c r="BB22" s="49" t="str">
        <f t="shared" si="39"/>
        <v/>
      </c>
      <c r="BC22" s="49" t="str">
        <f t="shared" si="39"/>
        <v/>
      </c>
      <c r="BD22" s="49" t="str">
        <f t="shared" si="39"/>
        <v/>
      </c>
      <c r="BE22" s="49" t="str">
        <f t="shared" si="39"/>
        <v/>
      </c>
      <c r="BF22" s="49" t="str">
        <f t="shared" si="39"/>
        <v/>
      </c>
      <c r="BG22" s="49" t="str">
        <f t="shared" si="39"/>
        <v/>
      </c>
      <c r="BH22" s="49" t="str">
        <f t="shared" si="39"/>
        <v/>
      </c>
      <c r="BI22" s="49" t="str">
        <f t="shared" si="39"/>
        <v/>
      </c>
      <c r="BJ22" s="49" t="str">
        <f t="shared" si="39"/>
        <v/>
      </c>
      <c r="BK22" s="49" t="str">
        <f t="shared" si="39"/>
        <v/>
      </c>
      <c r="BL22" s="49" t="str">
        <f t="shared" si="39"/>
        <v/>
      </c>
      <c r="BM22" s="49" t="str">
        <f t="shared" si="39"/>
        <v/>
      </c>
      <c r="BN22" s="49" t="str">
        <f t="shared" si="39"/>
        <v/>
      </c>
      <c r="BO22" s="49" t="str">
        <f t="shared" si="39"/>
        <v/>
      </c>
      <c r="BP22" s="49" t="str">
        <f t="shared" si="39"/>
        <v/>
      </c>
      <c r="BQ22" s="49" t="str">
        <f t="shared" si="39"/>
        <v/>
      </c>
      <c r="BR22" s="49" t="str">
        <f t="shared" si="39"/>
        <v/>
      </c>
      <c r="BS22" s="49" t="str">
        <f t="shared" si="39"/>
        <v/>
      </c>
      <c r="BT22" s="49" t="str">
        <f t="shared" si="39"/>
        <v/>
      </c>
      <c r="BU22" s="49" t="str">
        <f t="shared" si="39"/>
        <v/>
      </c>
      <c r="BV22" s="49" t="str">
        <f t="shared" si="39"/>
        <v/>
      </c>
      <c r="BW22" s="49" t="str">
        <f t="shared" si="39"/>
        <v/>
      </c>
      <c r="BX22" s="49" t="str">
        <f t="shared" si="39"/>
        <v/>
      </c>
      <c r="BY22" s="49" t="str">
        <f t="shared" si="39"/>
        <v/>
      </c>
      <c r="BZ22" s="49" t="str">
        <f t="shared" si="39"/>
        <v/>
      </c>
      <c r="CA22" s="49" t="str">
        <f t="shared" si="39"/>
        <v/>
      </c>
      <c r="CB22" s="49" t="str">
        <f t="shared" si="39"/>
        <v/>
      </c>
      <c r="CC22" s="49" t="str">
        <f t="shared" si="39"/>
        <v/>
      </c>
      <c r="CD22" s="49" t="str">
        <f t="shared" si="39"/>
        <v/>
      </c>
      <c r="CE22" s="49" t="str">
        <f t="shared" si="39"/>
        <v/>
      </c>
      <c r="CF22" s="49" t="str">
        <f t="shared" si="39"/>
        <v/>
      </c>
      <c r="CG22" s="49" t="str">
        <f t="shared" si="39"/>
        <v/>
      </c>
      <c r="CH22" s="49" t="str">
        <f t="shared" si="39"/>
        <v/>
      </c>
      <c r="CI22" s="49" t="str">
        <f t="shared" si="39"/>
        <v/>
      </c>
      <c r="CJ22" s="49" t="str">
        <f t="shared" si="39"/>
        <v/>
      </c>
      <c r="CK22" s="49" t="str">
        <f t="shared" si="39"/>
        <v/>
      </c>
      <c r="CL22" s="49" t="str">
        <f t="shared" si="39"/>
        <v/>
      </c>
      <c r="CM22" s="49" t="str">
        <f t="shared" si="39"/>
        <v/>
      </c>
      <c r="CN22" s="49" t="str">
        <f t="shared" si="39"/>
        <v/>
      </c>
      <c r="CO22" s="49" t="str">
        <f t="shared" si="39"/>
        <v/>
      </c>
      <c r="CP22" s="49" t="str">
        <f t="shared" si="39"/>
        <v/>
      </c>
      <c r="CQ22" s="49" t="str">
        <f t="shared" si="39"/>
        <v/>
      </c>
      <c r="CR22" s="49" t="str">
        <f t="shared" si="39"/>
        <v/>
      </c>
      <c r="CS22" s="49" t="str">
        <f t="shared" si="39"/>
        <v/>
      </c>
      <c r="CT22" s="49" t="str">
        <f t="shared" si="39"/>
        <v/>
      </c>
      <c r="CU22" s="49" t="str">
        <f t="shared" si="39"/>
        <v/>
      </c>
      <c r="CV22" s="49" t="str">
        <f t="shared" si="39"/>
        <v/>
      </c>
      <c r="CW22" s="49" t="str">
        <f t="shared" si="39"/>
        <v/>
      </c>
      <c r="CX22" s="49" t="str">
        <f t="shared" si="39"/>
        <v/>
      </c>
      <c r="CY22" s="49" t="str">
        <f t="shared" si="39"/>
        <v/>
      </c>
      <c r="CZ22" s="49" t="str">
        <f t="shared" si="39"/>
        <v/>
      </c>
      <c r="DA22" s="49" t="str">
        <f t="shared" si="39"/>
        <v/>
      </c>
      <c r="DB22" s="49" t="str">
        <f t="shared" si="39"/>
        <v/>
      </c>
      <c r="DC22" s="49" t="str">
        <f t="shared" si="39"/>
        <v/>
      </c>
      <c r="DD22" s="49" t="str">
        <f t="shared" si="39"/>
        <v/>
      </c>
      <c r="DE22" s="49" t="str">
        <f t="shared" si="39"/>
        <v/>
      </c>
      <c r="DF22" s="49" t="str">
        <f t="shared" si="39"/>
        <v/>
      </c>
      <c r="DG22" s="49" t="str">
        <f t="shared" si="39"/>
        <v/>
      </c>
      <c r="DH22" s="49" t="str">
        <f t="shared" si="39"/>
        <v/>
      </c>
      <c r="DI22" s="49" t="str">
        <f t="shared" si="39"/>
        <v/>
      </c>
      <c r="DJ22" s="49" t="str">
        <f t="shared" si="39"/>
        <v/>
      </c>
    </row>
    <row r="23" spans="1:114" ht="15.75" customHeight="1" x14ac:dyDescent="0.55000000000000004">
      <c r="A23" s="41" t="e">
        <f>MASANIELLO!#REF!</f>
        <v>#REF!</v>
      </c>
      <c r="B23" s="41" t="e">
        <f t="shared" si="2"/>
        <v>#VALUE!</v>
      </c>
      <c r="C23" s="42" t="e">
        <f t="shared" si="3"/>
        <v>#VALUE!</v>
      </c>
      <c r="D23" s="42" t="e">
        <f t="shared" si="4"/>
        <v>#VALUE!</v>
      </c>
      <c r="E23" s="42" t="e">
        <f t="shared" si="5"/>
        <v>#VALUE!</v>
      </c>
      <c r="F23" s="42" t="e">
        <f t="shared" si="6"/>
        <v>#VALUE!</v>
      </c>
      <c r="G23" s="50" t="e">
        <f t="shared" si="7"/>
        <v>#VALUE!</v>
      </c>
      <c r="H23" s="41" t="e">
        <f t="shared" si="8"/>
        <v>#VALUE!</v>
      </c>
      <c r="I23" s="41" t="e">
        <f t="shared" si="9"/>
        <v>#VALUE!</v>
      </c>
      <c r="J23" s="45" t="e">
        <f t="shared" si="10"/>
        <v>#VALUE!</v>
      </c>
      <c r="M23" s="48" t="b">
        <f t="shared" si="11"/>
        <v>0</v>
      </c>
      <c r="N23" s="49" t="e">
        <f t="shared" ref="N23:DJ23" si="40">IF(N$1&gt;$L$2,   "",   IF(N$1=$L$2,  1,  IF($L$2-N$1=$L$1-$M23, $L$3^($L$1-$M23), ($L$3*N24*O24/(N24+($L$3-1)*O24) ))))</f>
        <v>#DIV/0!</v>
      </c>
      <c r="O23" s="49" t="e">
        <f t="shared" si="40"/>
        <v>#DIV/0!</v>
      </c>
      <c r="P23" s="49" t="e">
        <f t="shared" si="40"/>
        <v>#DIV/0!</v>
      </c>
      <c r="Q23" s="49" t="e">
        <f t="shared" si="40"/>
        <v>#DIV/0!</v>
      </c>
      <c r="R23" s="49">
        <f t="shared" si="40"/>
        <v>1</v>
      </c>
      <c r="S23" s="49" t="str">
        <f t="shared" si="40"/>
        <v/>
      </c>
      <c r="T23" s="49" t="str">
        <f t="shared" si="40"/>
        <v/>
      </c>
      <c r="U23" s="49" t="str">
        <f t="shared" si="40"/>
        <v/>
      </c>
      <c r="V23" s="49" t="str">
        <f t="shared" si="40"/>
        <v/>
      </c>
      <c r="W23" s="49" t="str">
        <f t="shared" si="40"/>
        <v/>
      </c>
      <c r="X23" s="49" t="str">
        <f t="shared" si="40"/>
        <v/>
      </c>
      <c r="Y23" s="49" t="str">
        <f t="shared" si="40"/>
        <v/>
      </c>
      <c r="Z23" s="49" t="str">
        <f t="shared" si="40"/>
        <v/>
      </c>
      <c r="AA23" s="49" t="str">
        <f t="shared" si="40"/>
        <v/>
      </c>
      <c r="AB23" s="49" t="str">
        <f t="shared" si="40"/>
        <v/>
      </c>
      <c r="AC23" s="49" t="str">
        <f t="shared" si="40"/>
        <v/>
      </c>
      <c r="AD23" s="49" t="str">
        <f t="shared" si="40"/>
        <v/>
      </c>
      <c r="AE23" s="49" t="str">
        <f t="shared" si="40"/>
        <v/>
      </c>
      <c r="AF23" s="49" t="str">
        <f t="shared" si="40"/>
        <v/>
      </c>
      <c r="AG23" s="49" t="str">
        <f t="shared" si="40"/>
        <v/>
      </c>
      <c r="AH23" s="49" t="str">
        <f t="shared" si="40"/>
        <v/>
      </c>
      <c r="AI23" s="49" t="str">
        <f t="shared" si="40"/>
        <v/>
      </c>
      <c r="AJ23" s="49" t="str">
        <f t="shared" si="40"/>
        <v/>
      </c>
      <c r="AK23" s="49" t="str">
        <f t="shared" si="40"/>
        <v/>
      </c>
      <c r="AL23" s="49" t="str">
        <f t="shared" si="40"/>
        <v/>
      </c>
      <c r="AM23" s="49" t="str">
        <f t="shared" si="40"/>
        <v/>
      </c>
      <c r="AN23" s="49" t="str">
        <f t="shared" si="40"/>
        <v/>
      </c>
      <c r="AO23" s="49" t="str">
        <f t="shared" si="40"/>
        <v/>
      </c>
      <c r="AP23" s="49" t="str">
        <f t="shared" si="40"/>
        <v/>
      </c>
      <c r="AQ23" s="49" t="str">
        <f t="shared" si="40"/>
        <v/>
      </c>
      <c r="AR23" s="49" t="str">
        <f t="shared" si="40"/>
        <v/>
      </c>
      <c r="AS23" s="49" t="str">
        <f t="shared" si="40"/>
        <v/>
      </c>
      <c r="AT23" s="49" t="str">
        <f t="shared" si="40"/>
        <v/>
      </c>
      <c r="AU23" s="49" t="str">
        <f t="shared" si="40"/>
        <v/>
      </c>
      <c r="AV23" s="49" t="str">
        <f t="shared" si="40"/>
        <v/>
      </c>
      <c r="AW23" s="49" t="str">
        <f t="shared" si="40"/>
        <v/>
      </c>
      <c r="AX23" s="49" t="str">
        <f t="shared" si="40"/>
        <v/>
      </c>
      <c r="AY23" s="49" t="str">
        <f t="shared" si="40"/>
        <v/>
      </c>
      <c r="AZ23" s="49" t="str">
        <f t="shared" si="40"/>
        <v/>
      </c>
      <c r="BA23" s="49" t="str">
        <f t="shared" si="40"/>
        <v/>
      </c>
      <c r="BB23" s="49" t="str">
        <f t="shared" si="40"/>
        <v/>
      </c>
      <c r="BC23" s="49" t="str">
        <f t="shared" si="40"/>
        <v/>
      </c>
      <c r="BD23" s="49" t="str">
        <f t="shared" si="40"/>
        <v/>
      </c>
      <c r="BE23" s="49" t="str">
        <f t="shared" si="40"/>
        <v/>
      </c>
      <c r="BF23" s="49" t="str">
        <f t="shared" si="40"/>
        <v/>
      </c>
      <c r="BG23" s="49" t="str">
        <f t="shared" si="40"/>
        <v/>
      </c>
      <c r="BH23" s="49" t="str">
        <f t="shared" si="40"/>
        <v/>
      </c>
      <c r="BI23" s="49" t="str">
        <f t="shared" si="40"/>
        <v/>
      </c>
      <c r="BJ23" s="49" t="str">
        <f t="shared" si="40"/>
        <v/>
      </c>
      <c r="BK23" s="49" t="str">
        <f t="shared" si="40"/>
        <v/>
      </c>
      <c r="BL23" s="49" t="str">
        <f t="shared" si="40"/>
        <v/>
      </c>
      <c r="BM23" s="49" t="str">
        <f t="shared" si="40"/>
        <v/>
      </c>
      <c r="BN23" s="49" t="str">
        <f t="shared" si="40"/>
        <v/>
      </c>
      <c r="BO23" s="49" t="str">
        <f t="shared" si="40"/>
        <v/>
      </c>
      <c r="BP23" s="49" t="str">
        <f t="shared" si="40"/>
        <v/>
      </c>
      <c r="BQ23" s="49" t="str">
        <f t="shared" si="40"/>
        <v/>
      </c>
      <c r="BR23" s="49" t="str">
        <f t="shared" si="40"/>
        <v/>
      </c>
      <c r="BS23" s="49" t="str">
        <f t="shared" si="40"/>
        <v/>
      </c>
      <c r="BT23" s="49" t="str">
        <f t="shared" si="40"/>
        <v/>
      </c>
      <c r="BU23" s="49" t="str">
        <f t="shared" si="40"/>
        <v/>
      </c>
      <c r="BV23" s="49" t="str">
        <f t="shared" si="40"/>
        <v/>
      </c>
      <c r="BW23" s="49" t="str">
        <f t="shared" si="40"/>
        <v/>
      </c>
      <c r="BX23" s="49" t="str">
        <f t="shared" si="40"/>
        <v/>
      </c>
      <c r="BY23" s="49" t="str">
        <f t="shared" si="40"/>
        <v/>
      </c>
      <c r="BZ23" s="49" t="str">
        <f t="shared" si="40"/>
        <v/>
      </c>
      <c r="CA23" s="49" t="str">
        <f t="shared" si="40"/>
        <v/>
      </c>
      <c r="CB23" s="49" t="str">
        <f t="shared" si="40"/>
        <v/>
      </c>
      <c r="CC23" s="49" t="str">
        <f t="shared" si="40"/>
        <v/>
      </c>
      <c r="CD23" s="49" t="str">
        <f t="shared" si="40"/>
        <v/>
      </c>
      <c r="CE23" s="49" t="str">
        <f t="shared" si="40"/>
        <v/>
      </c>
      <c r="CF23" s="49" t="str">
        <f t="shared" si="40"/>
        <v/>
      </c>
      <c r="CG23" s="49" t="str">
        <f t="shared" si="40"/>
        <v/>
      </c>
      <c r="CH23" s="49" t="str">
        <f t="shared" si="40"/>
        <v/>
      </c>
      <c r="CI23" s="49" t="str">
        <f t="shared" si="40"/>
        <v/>
      </c>
      <c r="CJ23" s="49" t="str">
        <f t="shared" si="40"/>
        <v/>
      </c>
      <c r="CK23" s="49" t="str">
        <f t="shared" si="40"/>
        <v/>
      </c>
      <c r="CL23" s="49" t="str">
        <f t="shared" si="40"/>
        <v/>
      </c>
      <c r="CM23" s="49" t="str">
        <f t="shared" si="40"/>
        <v/>
      </c>
      <c r="CN23" s="49" t="str">
        <f t="shared" si="40"/>
        <v/>
      </c>
      <c r="CO23" s="49" t="str">
        <f t="shared" si="40"/>
        <v/>
      </c>
      <c r="CP23" s="49" t="str">
        <f t="shared" si="40"/>
        <v/>
      </c>
      <c r="CQ23" s="49" t="str">
        <f t="shared" si="40"/>
        <v/>
      </c>
      <c r="CR23" s="49" t="str">
        <f t="shared" si="40"/>
        <v/>
      </c>
      <c r="CS23" s="49" t="str">
        <f t="shared" si="40"/>
        <v/>
      </c>
      <c r="CT23" s="49" t="str">
        <f t="shared" si="40"/>
        <v/>
      </c>
      <c r="CU23" s="49" t="str">
        <f t="shared" si="40"/>
        <v/>
      </c>
      <c r="CV23" s="49" t="str">
        <f t="shared" si="40"/>
        <v/>
      </c>
      <c r="CW23" s="49" t="str">
        <f t="shared" si="40"/>
        <v/>
      </c>
      <c r="CX23" s="49" t="str">
        <f t="shared" si="40"/>
        <v/>
      </c>
      <c r="CY23" s="49" t="str">
        <f t="shared" si="40"/>
        <v/>
      </c>
      <c r="CZ23" s="49" t="str">
        <f t="shared" si="40"/>
        <v/>
      </c>
      <c r="DA23" s="49" t="str">
        <f t="shared" si="40"/>
        <v/>
      </c>
      <c r="DB23" s="49" t="str">
        <f t="shared" si="40"/>
        <v/>
      </c>
      <c r="DC23" s="49" t="str">
        <f t="shared" si="40"/>
        <v/>
      </c>
      <c r="DD23" s="49" t="str">
        <f t="shared" si="40"/>
        <v/>
      </c>
      <c r="DE23" s="49" t="str">
        <f t="shared" si="40"/>
        <v/>
      </c>
      <c r="DF23" s="49" t="str">
        <f t="shared" si="40"/>
        <v/>
      </c>
      <c r="DG23" s="49" t="str">
        <f t="shared" si="40"/>
        <v/>
      </c>
      <c r="DH23" s="49" t="str">
        <f t="shared" si="40"/>
        <v/>
      </c>
      <c r="DI23" s="49" t="str">
        <f t="shared" si="40"/>
        <v/>
      </c>
      <c r="DJ23" s="49" t="str">
        <f t="shared" si="40"/>
        <v/>
      </c>
    </row>
    <row r="24" spans="1:114" ht="15.75" customHeight="1" x14ac:dyDescent="0.55000000000000004">
      <c r="A24" s="41" t="e">
        <f>MASANIELLO!#REF!</f>
        <v>#REF!</v>
      </c>
      <c r="B24" s="41" t="e">
        <f t="shared" si="2"/>
        <v>#VALUE!</v>
      </c>
      <c r="C24" s="42" t="e">
        <f t="shared" si="3"/>
        <v>#VALUE!</v>
      </c>
      <c r="D24" s="42" t="e">
        <f t="shared" si="4"/>
        <v>#VALUE!</v>
      </c>
      <c r="E24" s="42" t="e">
        <f t="shared" si="5"/>
        <v>#VALUE!</v>
      </c>
      <c r="F24" s="42" t="e">
        <f t="shared" si="6"/>
        <v>#VALUE!</v>
      </c>
      <c r="G24" s="50" t="e">
        <f t="shared" si="7"/>
        <v>#VALUE!</v>
      </c>
      <c r="H24" s="41" t="e">
        <f t="shared" si="8"/>
        <v>#VALUE!</v>
      </c>
      <c r="I24" s="41" t="e">
        <f t="shared" si="9"/>
        <v>#VALUE!</v>
      </c>
      <c r="J24" s="45" t="e">
        <f t="shared" si="10"/>
        <v>#VALUE!</v>
      </c>
      <c r="M24" s="48" t="b">
        <f t="shared" si="11"/>
        <v>0</v>
      </c>
      <c r="N24" s="49" t="e">
        <f t="shared" ref="N24:DJ24" si="41">IF(N$1&gt;$L$2,   "",   IF(N$1=$L$2,  1,  IF($L$2-N$1=$L$1-$M24, $L$3^($L$1-$M24), ($L$3*N25*O25/(N25+($L$3-1)*O25) ))))</f>
        <v>#DIV/0!</v>
      </c>
      <c r="O24" s="49" t="e">
        <f t="shared" si="41"/>
        <v>#DIV/0!</v>
      </c>
      <c r="P24" s="49" t="e">
        <f t="shared" si="41"/>
        <v>#DIV/0!</v>
      </c>
      <c r="Q24" s="49" t="e">
        <f t="shared" si="41"/>
        <v>#DIV/0!</v>
      </c>
      <c r="R24" s="49">
        <f t="shared" si="41"/>
        <v>1</v>
      </c>
      <c r="S24" s="49" t="str">
        <f t="shared" si="41"/>
        <v/>
      </c>
      <c r="T24" s="49" t="str">
        <f t="shared" si="41"/>
        <v/>
      </c>
      <c r="U24" s="49" t="str">
        <f t="shared" si="41"/>
        <v/>
      </c>
      <c r="V24" s="49" t="str">
        <f t="shared" si="41"/>
        <v/>
      </c>
      <c r="W24" s="49" t="str">
        <f t="shared" si="41"/>
        <v/>
      </c>
      <c r="X24" s="49" t="str">
        <f t="shared" si="41"/>
        <v/>
      </c>
      <c r="Y24" s="49" t="str">
        <f t="shared" si="41"/>
        <v/>
      </c>
      <c r="Z24" s="49" t="str">
        <f t="shared" si="41"/>
        <v/>
      </c>
      <c r="AA24" s="49" t="str">
        <f t="shared" si="41"/>
        <v/>
      </c>
      <c r="AB24" s="49" t="str">
        <f t="shared" si="41"/>
        <v/>
      </c>
      <c r="AC24" s="49" t="str">
        <f t="shared" si="41"/>
        <v/>
      </c>
      <c r="AD24" s="49" t="str">
        <f t="shared" si="41"/>
        <v/>
      </c>
      <c r="AE24" s="49" t="str">
        <f t="shared" si="41"/>
        <v/>
      </c>
      <c r="AF24" s="49" t="str">
        <f t="shared" si="41"/>
        <v/>
      </c>
      <c r="AG24" s="49" t="str">
        <f t="shared" si="41"/>
        <v/>
      </c>
      <c r="AH24" s="49" t="str">
        <f t="shared" si="41"/>
        <v/>
      </c>
      <c r="AI24" s="49" t="str">
        <f t="shared" si="41"/>
        <v/>
      </c>
      <c r="AJ24" s="49" t="str">
        <f t="shared" si="41"/>
        <v/>
      </c>
      <c r="AK24" s="49" t="str">
        <f t="shared" si="41"/>
        <v/>
      </c>
      <c r="AL24" s="49" t="str">
        <f t="shared" si="41"/>
        <v/>
      </c>
      <c r="AM24" s="49" t="str">
        <f t="shared" si="41"/>
        <v/>
      </c>
      <c r="AN24" s="49" t="str">
        <f t="shared" si="41"/>
        <v/>
      </c>
      <c r="AO24" s="49" t="str">
        <f t="shared" si="41"/>
        <v/>
      </c>
      <c r="AP24" s="49" t="str">
        <f t="shared" si="41"/>
        <v/>
      </c>
      <c r="AQ24" s="49" t="str">
        <f t="shared" si="41"/>
        <v/>
      </c>
      <c r="AR24" s="49" t="str">
        <f t="shared" si="41"/>
        <v/>
      </c>
      <c r="AS24" s="49" t="str">
        <f t="shared" si="41"/>
        <v/>
      </c>
      <c r="AT24" s="49" t="str">
        <f t="shared" si="41"/>
        <v/>
      </c>
      <c r="AU24" s="49" t="str">
        <f t="shared" si="41"/>
        <v/>
      </c>
      <c r="AV24" s="49" t="str">
        <f t="shared" si="41"/>
        <v/>
      </c>
      <c r="AW24" s="49" t="str">
        <f t="shared" si="41"/>
        <v/>
      </c>
      <c r="AX24" s="49" t="str">
        <f t="shared" si="41"/>
        <v/>
      </c>
      <c r="AY24" s="49" t="str">
        <f t="shared" si="41"/>
        <v/>
      </c>
      <c r="AZ24" s="49" t="str">
        <f t="shared" si="41"/>
        <v/>
      </c>
      <c r="BA24" s="49" t="str">
        <f t="shared" si="41"/>
        <v/>
      </c>
      <c r="BB24" s="49" t="str">
        <f t="shared" si="41"/>
        <v/>
      </c>
      <c r="BC24" s="49" t="str">
        <f t="shared" si="41"/>
        <v/>
      </c>
      <c r="BD24" s="49" t="str">
        <f t="shared" si="41"/>
        <v/>
      </c>
      <c r="BE24" s="49" t="str">
        <f t="shared" si="41"/>
        <v/>
      </c>
      <c r="BF24" s="49" t="str">
        <f t="shared" si="41"/>
        <v/>
      </c>
      <c r="BG24" s="49" t="str">
        <f t="shared" si="41"/>
        <v/>
      </c>
      <c r="BH24" s="49" t="str">
        <f t="shared" si="41"/>
        <v/>
      </c>
      <c r="BI24" s="49" t="str">
        <f t="shared" si="41"/>
        <v/>
      </c>
      <c r="BJ24" s="49" t="str">
        <f t="shared" si="41"/>
        <v/>
      </c>
      <c r="BK24" s="49" t="str">
        <f t="shared" si="41"/>
        <v/>
      </c>
      <c r="BL24" s="49" t="str">
        <f t="shared" si="41"/>
        <v/>
      </c>
      <c r="BM24" s="49" t="str">
        <f t="shared" si="41"/>
        <v/>
      </c>
      <c r="BN24" s="49" t="str">
        <f t="shared" si="41"/>
        <v/>
      </c>
      <c r="BO24" s="49" t="str">
        <f t="shared" si="41"/>
        <v/>
      </c>
      <c r="BP24" s="49" t="str">
        <f t="shared" si="41"/>
        <v/>
      </c>
      <c r="BQ24" s="49" t="str">
        <f t="shared" si="41"/>
        <v/>
      </c>
      <c r="BR24" s="49" t="str">
        <f t="shared" si="41"/>
        <v/>
      </c>
      <c r="BS24" s="49" t="str">
        <f t="shared" si="41"/>
        <v/>
      </c>
      <c r="BT24" s="49" t="str">
        <f t="shared" si="41"/>
        <v/>
      </c>
      <c r="BU24" s="49" t="str">
        <f t="shared" si="41"/>
        <v/>
      </c>
      <c r="BV24" s="49" t="str">
        <f t="shared" si="41"/>
        <v/>
      </c>
      <c r="BW24" s="49" t="str">
        <f t="shared" si="41"/>
        <v/>
      </c>
      <c r="BX24" s="49" t="str">
        <f t="shared" si="41"/>
        <v/>
      </c>
      <c r="BY24" s="49" t="str">
        <f t="shared" si="41"/>
        <v/>
      </c>
      <c r="BZ24" s="49" t="str">
        <f t="shared" si="41"/>
        <v/>
      </c>
      <c r="CA24" s="49" t="str">
        <f t="shared" si="41"/>
        <v/>
      </c>
      <c r="CB24" s="49" t="str">
        <f t="shared" si="41"/>
        <v/>
      </c>
      <c r="CC24" s="49" t="str">
        <f t="shared" si="41"/>
        <v/>
      </c>
      <c r="CD24" s="49" t="str">
        <f t="shared" si="41"/>
        <v/>
      </c>
      <c r="CE24" s="49" t="str">
        <f t="shared" si="41"/>
        <v/>
      </c>
      <c r="CF24" s="49" t="str">
        <f t="shared" si="41"/>
        <v/>
      </c>
      <c r="CG24" s="49" t="str">
        <f t="shared" si="41"/>
        <v/>
      </c>
      <c r="CH24" s="49" t="str">
        <f t="shared" si="41"/>
        <v/>
      </c>
      <c r="CI24" s="49" t="str">
        <f t="shared" si="41"/>
        <v/>
      </c>
      <c r="CJ24" s="49" t="str">
        <f t="shared" si="41"/>
        <v/>
      </c>
      <c r="CK24" s="49" t="str">
        <f t="shared" si="41"/>
        <v/>
      </c>
      <c r="CL24" s="49" t="str">
        <f t="shared" si="41"/>
        <v/>
      </c>
      <c r="CM24" s="49" t="str">
        <f t="shared" si="41"/>
        <v/>
      </c>
      <c r="CN24" s="49" t="str">
        <f t="shared" si="41"/>
        <v/>
      </c>
      <c r="CO24" s="49" t="str">
        <f t="shared" si="41"/>
        <v/>
      </c>
      <c r="CP24" s="49" t="str">
        <f t="shared" si="41"/>
        <v/>
      </c>
      <c r="CQ24" s="49" t="str">
        <f t="shared" si="41"/>
        <v/>
      </c>
      <c r="CR24" s="49" t="str">
        <f t="shared" si="41"/>
        <v/>
      </c>
      <c r="CS24" s="49" t="str">
        <f t="shared" si="41"/>
        <v/>
      </c>
      <c r="CT24" s="49" t="str">
        <f t="shared" si="41"/>
        <v/>
      </c>
      <c r="CU24" s="49" t="str">
        <f t="shared" si="41"/>
        <v/>
      </c>
      <c r="CV24" s="49" t="str">
        <f t="shared" si="41"/>
        <v/>
      </c>
      <c r="CW24" s="49" t="str">
        <f t="shared" si="41"/>
        <v/>
      </c>
      <c r="CX24" s="49" t="str">
        <f t="shared" si="41"/>
        <v/>
      </c>
      <c r="CY24" s="49" t="str">
        <f t="shared" si="41"/>
        <v/>
      </c>
      <c r="CZ24" s="49" t="str">
        <f t="shared" si="41"/>
        <v/>
      </c>
      <c r="DA24" s="49" t="str">
        <f t="shared" si="41"/>
        <v/>
      </c>
      <c r="DB24" s="49" t="str">
        <f t="shared" si="41"/>
        <v/>
      </c>
      <c r="DC24" s="49" t="str">
        <f t="shared" si="41"/>
        <v/>
      </c>
      <c r="DD24" s="49" t="str">
        <f t="shared" si="41"/>
        <v/>
      </c>
      <c r="DE24" s="49" t="str">
        <f t="shared" si="41"/>
        <v/>
      </c>
      <c r="DF24" s="49" t="str">
        <f t="shared" si="41"/>
        <v/>
      </c>
      <c r="DG24" s="49" t="str">
        <f t="shared" si="41"/>
        <v/>
      </c>
      <c r="DH24" s="49" t="str">
        <f t="shared" si="41"/>
        <v/>
      </c>
      <c r="DI24" s="49" t="str">
        <f t="shared" si="41"/>
        <v/>
      </c>
      <c r="DJ24" s="49" t="str">
        <f t="shared" si="41"/>
        <v/>
      </c>
    </row>
    <row r="25" spans="1:114" ht="15.75" customHeight="1" x14ac:dyDescent="0.55000000000000004">
      <c r="A25" s="41" t="e">
        <f>MASANIELLO!#REF!</f>
        <v>#REF!</v>
      </c>
      <c r="B25" s="41" t="e">
        <f t="shared" si="2"/>
        <v>#VALUE!</v>
      </c>
      <c r="C25" s="42" t="e">
        <f t="shared" si="3"/>
        <v>#VALUE!</v>
      </c>
      <c r="D25" s="42" t="e">
        <f t="shared" si="4"/>
        <v>#VALUE!</v>
      </c>
      <c r="E25" s="42" t="e">
        <f t="shared" si="5"/>
        <v>#VALUE!</v>
      </c>
      <c r="F25" s="42" t="e">
        <f t="shared" si="6"/>
        <v>#VALUE!</v>
      </c>
      <c r="G25" s="50" t="e">
        <f t="shared" si="7"/>
        <v>#VALUE!</v>
      </c>
      <c r="H25" s="41" t="e">
        <f t="shared" si="8"/>
        <v>#VALUE!</v>
      </c>
      <c r="I25" s="41" t="e">
        <f t="shared" si="9"/>
        <v>#VALUE!</v>
      </c>
      <c r="J25" s="45" t="e">
        <f t="shared" si="10"/>
        <v>#VALUE!</v>
      </c>
      <c r="M25" s="48" t="b">
        <f t="shared" si="11"/>
        <v>0</v>
      </c>
      <c r="N25" s="49" t="e">
        <f t="shared" ref="N25:DJ25" si="42">IF(N$1&gt;$L$2,   "",   IF(N$1=$L$2,  1,  IF($L$2-N$1=$L$1-$M25, $L$3^($L$1-$M25), ($L$3*N26*O26/(N26+($L$3-1)*O26) ))))</f>
        <v>#DIV/0!</v>
      </c>
      <c r="O25" s="49" t="e">
        <f t="shared" si="42"/>
        <v>#DIV/0!</v>
      </c>
      <c r="P25" s="49" t="e">
        <f t="shared" si="42"/>
        <v>#DIV/0!</v>
      </c>
      <c r="Q25" s="49" t="e">
        <f t="shared" si="42"/>
        <v>#DIV/0!</v>
      </c>
      <c r="R25" s="49">
        <f t="shared" si="42"/>
        <v>1</v>
      </c>
      <c r="S25" s="49" t="str">
        <f t="shared" si="42"/>
        <v/>
      </c>
      <c r="T25" s="49" t="str">
        <f t="shared" si="42"/>
        <v/>
      </c>
      <c r="U25" s="49" t="str">
        <f t="shared" si="42"/>
        <v/>
      </c>
      <c r="V25" s="49" t="str">
        <f t="shared" si="42"/>
        <v/>
      </c>
      <c r="W25" s="49" t="str">
        <f t="shared" si="42"/>
        <v/>
      </c>
      <c r="X25" s="49" t="str">
        <f t="shared" si="42"/>
        <v/>
      </c>
      <c r="Y25" s="49" t="str">
        <f t="shared" si="42"/>
        <v/>
      </c>
      <c r="Z25" s="49" t="str">
        <f t="shared" si="42"/>
        <v/>
      </c>
      <c r="AA25" s="49" t="str">
        <f t="shared" si="42"/>
        <v/>
      </c>
      <c r="AB25" s="49" t="str">
        <f t="shared" si="42"/>
        <v/>
      </c>
      <c r="AC25" s="49" t="str">
        <f t="shared" si="42"/>
        <v/>
      </c>
      <c r="AD25" s="49" t="str">
        <f t="shared" si="42"/>
        <v/>
      </c>
      <c r="AE25" s="49" t="str">
        <f t="shared" si="42"/>
        <v/>
      </c>
      <c r="AF25" s="49" t="str">
        <f t="shared" si="42"/>
        <v/>
      </c>
      <c r="AG25" s="49" t="str">
        <f t="shared" si="42"/>
        <v/>
      </c>
      <c r="AH25" s="49" t="str">
        <f t="shared" si="42"/>
        <v/>
      </c>
      <c r="AI25" s="49" t="str">
        <f t="shared" si="42"/>
        <v/>
      </c>
      <c r="AJ25" s="49" t="str">
        <f t="shared" si="42"/>
        <v/>
      </c>
      <c r="AK25" s="49" t="str">
        <f t="shared" si="42"/>
        <v/>
      </c>
      <c r="AL25" s="49" t="str">
        <f t="shared" si="42"/>
        <v/>
      </c>
      <c r="AM25" s="49" t="str">
        <f t="shared" si="42"/>
        <v/>
      </c>
      <c r="AN25" s="49" t="str">
        <f t="shared" si="42"/>
        <v/>
      </c>
      <c r="AO25" s="49" t="str">
        <f t="shared" si="42"/>
        <v/>
      </c>
      <c r="AP25" s="49" t="str">
        <f t="shared" si="42"/>
        <v/>
      </c>
      <c r="AQ25" s="49" t="str">
        <f t="shared" si="42"/>
        <v/>
      </c>
      <c r="AR25" s="49" t="str">
        <f t="shared" si="42"/>
        <v/>
      </c>
      <c r="AS25" s="49" t="str">
        <f t="shared" si="42"/>
        <v/>
      </c>
      <c r="AT25" s="49" t="str">
        <f t="shared" si="42"/>
        <v/>
      </c>
      <c r="AU25" s="49" t="str">
        <f t="shared" si="42"/>
        <v/>
      </c>
      <c r="AV25" s="49" t="str">
        <f t="shared" si="42"/>
        <v/>
      </c>
      <c r="AW25" s="49" t="str">
        <f t="shared" si="42"/>
        <v/>
      </c>
      <c r="AX25" s="49" t="str">
        <f t="shared" si="42"/>
        <v/>
      </c>
      <c r="AY25" s="49" t="str">
        <f t="shared" si="42"/>
        <v/>
      </c>
      <c r="AZ25" s="49" t="str">
        <f t="shared" si="42"/>
        <v/>
      </c>
      <c r="BA25" s="49" t="str">
        <f t="shared" si="42"/>
        <v/>
      </c>
      <c r="BB25" s="49" t="str">
        <f t="shared" si="42"/>
        <v/>
      </c>
      <c r="BC25" s="49" t="str">
        <f t="shared" si="42"/>
        <v/>
      </c>
      <c r="BD25" s="49" t="str">
        <f t="shared" si="42"/>
        <v/>
      </c>
      <c r="BE25" s="49" t="str">
        <f t="shared" si="42"/>
        <v/>
      </c>
      <c r="BF25" s="49" t="str">
        <f t="shared" si="42"/>
        <v/>
      </c>
      <c r="BG25" s="49" t="str">
        <f t="shared" si="42"/>
        <v/>
      </c>
      <c r="BH25" s="49" t="str">
        <f t="shared" si="42"/>
        <v/>
      </c>
      <c r="BI25" s="49" t="str">
        <f t="shared" si="42"/>
        <v/>
      </c>
      <c r="BJ25" s="49" t="str">
        <f t="shared" si="42"/>
        <v/>
      </c>
      <c r="BK25" s="49" t="str">
        <f t="shared" si="42"/>
        <v/>
      </c>
      <c r="BL25" s="49" t="str">
        <f t="shared" si="42"/>
        <v/>
      </c>
      <c r="BM25" s="49" t="str">
        <f t="shared" si="42"/>
        <v/>
      </c>
      <c r="BN25" s="49" t="str">
        <f t="shared" si="42"/>
        <v/>
      </c>
      <c r="BO25" s="49" t="str">
        <f t="shared" si="42"/>
        <v/>
      </c>
      <c r="BP25" s="49" t="str">
        <f t="shared" si="42"/>
        <v/>
      </c>
      <c r="BQ25" s="49" t="str">
        <f t="shared" si="42"/>
        <v/>
      </c>
      <c r="BR25" s="49" t="str">
        <f t="shared" si="42"/>
        <v/>
      </c>
      <c r="BS25" s="49" t="str">
        <f t="shared" si="42"/>
        <v/>
      </c>
      <c r="BT25" s="49" t="str">
        <f t="shared" si="42"/>
        <v/>
      </c>
      <c r="BU25" s="49" t="str">
        <f t="shared" si="42"/>
        <v/>
      </c>
      <c r="BV25" s="49" t="str">
        <f t="shared" si="42"/>
        <v/>
      </c>
      <c r="BW25" s="49" t="str">
        <f t="shared" si="42"/>
        <v/>
      </c>
      <c r="BX25" s="49" t="str">
        <f t="shared" si="42"/>
        <v/>
      </c>
      <c r="BY25" s="49" t="str">
        <f t="shared" si="42"/>
        <v/>
      </c>
      <c r="BZ25" s="49" t="str">
        <f t="shared" si="42"/>
        <v/>
      </c>
      <c r="CA25" s="49" t="str">
        <f t="shared" si="42"/>
        <v/>
      </c>
      <c r="CB25" s="49" t="str">
        <f t="shared" si="42"/>
        <v/>
      </c>
      <c r="CC25" s="49" t="str">
        <f t="shared" si="42"/>
        <v/>
      </c>
      <c r="CD25" s="49" t="str">
        <f t="shared" si="42"/>
        <v/>
      </c>
      <c r="CE25" s="49" t="str">
        <f t="shared" si="42"/>
        <v/>
      </c>
      <c r="CF25" s="49" t="str">
        <f t="shared" si="42"/>
        <v/>
      </c>
      <c r="CG25" s="49" t="str">
        <f t="shared" si="42"/>
        <v/>
      </c>
      <c r="CH25" s="49" t="str">
        <f t="shared" si="42"/>
        <v/>
      </c>
      <c r="CI25" s="49" t="str">
        <f t="shared" si="42"/>
        <v/>
      </c>
      <c r="CJ25" s="49" t="str">
        <f t="shared" si="42"/>
        <v/>
      </c>
      <c r="CK25" s="49" t="str">
        <f t="shared" si="42"/>
        <v/>
      </c>
      <c r="CL25" s="49" t="str">
        <f t="shared" si="42"/>
        <v/>
      </c>
      <c r="CM25" s="49" t="str">
        <f t="shared" si="42"/>
        <v/>
      </c>
      <c r="CN25" s="49" t="str">
        <f t="shared" si="42"/>
        <v/>
      </c>
      <c r="CO25" s="49" t="str">
        <f t="shared" si="42"/>
        <v/>
      </c>
      <c r="CP25" s="49" t="str">
        <f t="shared" si="42"/>
        <v/>
      </c>
      <c r="CQ25" s="49" t="str">
        <f t="shared" si="42"/>
        <v/>
      </c>
      <c r="CR25" s="49" t="str">
        <f t="shared" si="42"/>
        <v/>
      </c>
      <c r="CS25" s="49" t="str">
        <f t="shared" si="42"/>
        <v/>
      </c>
      <c r="CT25" s="49" t="str">
        <f t="shared" si="42"/>
        <v/>
      </c>
      <c r="CU25" s="49" t="str">
        <f t="shared" si="42"/>
        <v/>
      </c>
      <c r="CV25" s="49" t="str">
        <f t="shared" si="42"/>
        <v/>
      </c>
      <c r="CW25" s="49" t="str">
        <f t="shared" si="42"/>
        <v/>
      </c>
      <c r="CX25" s="49" t="str">
        <f t="shared" si="42"/>
        <v/>
      </c>
      <c r="CY25" s="49" t="str">
        <f t="shared" si="42"/>
        <v/>
      </c>
      <c r="CZ25" s="49" t="str">
        <f t="shared" si="42"/>
        <v/>
      </c>
      <c r="DA25" s="49" t="str">
        <f t="shared" si="42"/>
        <v/>
      </c>
      <c r="DB25" s="49" t="str">
        <f t="shared" si="42"/>
        <v/>
      </c>
      <c r="DC25" s="49" t="str">
        <f t="shared" si="42"/>
        <v/>
      </c>
      <c r="DD25" s="49" t="str">
        <f t="shared" si="42"/>
        <v/>
      </c>
      <c r="DE25" s="49" t="str">
        <f t="shared" si="42"/>
        <v/>
      </c>
      <c r="DF25" s="49" t="str">
        <f t="shared" si="42"/>
        <v/>
      </c>
      <c r="DG25" s="49" t="str">
        <f t="shared" si="42"/>
        <v/>
      </c>
      <c r="DH25" s="49" t="str">
        <f t="shared" si="42"/>
        <v/>
      </c>
      <c r="DI25" s="49" t="str">
        <f t="shared" si="42"/>
        <v/>
      </c>
      <c r="DJ25" s="49" t="str">
        <f t="shared" si="42"/>
        <v/>
      </c>
    </row>
    <row r="26" spans="1:114" ht="15.75" customHeight="1" x14ac:dyDescent="0.55000000000000004">
      <c r="A26" s="41" t="e">
        <f>MASANIELLO!#REF!</f>
        <v>#REF!</v>
      </c>
      <c r="B26" s="41" t="e">
        <f t="shared" si="2"/>
        <v>#VALUE!</v>
      </c>
      <c r="C26" s="42" t="e">
        <f t="shared" si="3"/>
        <v>#VALUE!</v>
      </c>
      <c r="D26" s="42" t="e">
        <f t="shared" si="4"/>
        <v>#VALUE!</v>
      </c>
      <c r="E26" s="42" t="e">
        <f t="shared" si="5"/>
        <v>#VALUE!</v>
      </c>
      <c r="F26" s="42" t="e">
        <f t="shared" si="6"/>
        <v>#VALUE!</v>
      </c>
      <c r="G26" s="50" t="e">
        <f t="shared" si="7"/>
        <v>#VALUE!</v>
      </c>
      <c r="H26" s="41" t="e">
        <f t="shared" si="8"/>
        <v>#VALUE!</v>
      </c>
      <c r="I26" s="41" t="e">
        <f t="shared" si="9"/>
        <v>#VALUE!</v>
      </c>
      <c r="J26" s="45" t="e">
        <f t="shared" si="10"/>
        <v>#VALUE!</v>
      </c>
      <c r="M26" s="48" t="b">
        <f t="shared" si="11"/>
        <v>0</v>
      </c>
      <c r="N26" s="49" t="e">
        <f t="shared" ref="N26:DJ26" si="43">IF(N$1&gt;$L$2,   "",   IF(N$1=$L$2,  1,  IF($L$2-N$1=$L$1-$M26, $L$3^($L$1-$M26), ($L$3*N27*O27/(N27+($L$3-1)*O27) ))))</f>
        <v>#DIV/0!</v>
      </c>
      <c r="O26" s="49" t="e">
        <f t="shared" si="43"/>
        <v>#DIV/0!</v>
      </c>
      <c r="P26" s="49" t="e">
        <f t="shared" si="43"/>
        <v>#DIV/0!</v>
      </c>
      <c r="Q26" s="49" t="e">
        <f t="shared" si="43"/>
        <v>#DIV/0!</v>
      </c>
      <c r="R26" s="49">
        <f t="shared" si="43"/>
        <v>1</v>
      </c>
      <c r="S26" s="49" t="str">
        <f t="shared" si="43"/>
        <v/>
      </c>
      <c r="T26" s="49" t="str">
        <f t="shared" si="43"/>
        <v/>
      </c>
      <c r="U26" s="49" t="str">
        <f t="shared" si="43"/>
        <v/>
      </c>
      <c r="V26" s="49" t="str">
        <f t="shared" si="43"/>
        <v/>
      </c>
      <c r="W26" s="49" t="str">
        <f t="shared" si="43"/>
        <v/>
      </c>
      <c r="X26" s="49" t="str">
        <f t="shared" si="43"/>
        <v/>
      </c>
      <c r="Y26" s="49" t="str">
        <f t="shared" si="43"/>
        <v/>
      </c>
      <c r="Z26" s="49" t="str">
        <f t="shared" si="43"/>
        <v/>
      </c>
      <c r="AA26" s="49" t="str">
        <f t="shared" si="43"/>
        <v/>
      </c>
      <c r="AB26" s="49" t="str">
        <f t="shared" si="43"/>
        <v/>
      </c>
      <c r="AC26" s="49" t="str">
        <f t="shared" si="43"/>
        <v/>
      </c>
      <c r="AD26" s="49" t="str">
        <f t="shared" si="43"/>
        <v/>
      </c>
      <c r="AE26" s="49" t="str">
        <f t="shared" si="43"/>
        <v/>
      </c>
      <c r="AF26" s="49" t="str">
        <f t="shared" si="43"/>
        <v/>
      </c>
      <c r="AG26" s="49" t="str">
        <f t="shared" si="43"/>
        <v/>
      </c>
      <c r="AH26" s="49" t="str">
        <f t="shared" si="43"/>
        <v/>
      </c>
      <c r="AI26" s="49" t="str">
        <f t="shared" si="43"/>
        <v/>
      </c>
      <c r="AJ26" s="49" t="str">
        <f t="shared" si="43"/>
        <v/>
      </c>
      <c r="AK26" s="49" t="str">
        <f t="shared" si="43"/>
        <v/>
      </c>
      <c r="AL26" s="49" t="str">
        <f t="shared" si="43"/>
        <v/>
      </c>
      <c r="AM26" s="49" t="str">
        <f t="shared" si="43"/>
        <v/>
      </c>
      <c r="AN26" s="49" t="str">
        <f t="shared" si="43"/>
        <v/>
      </c>
      <c r="AO26" s="49" t="str">
        <f t="shared" si="43"/>
        <v/>
      </c>
      <c r="AP26" s="49" t="str">
        <f t="shared" si="43"/>
        <v/>
      </c>
      <c r="AQ26" s="49" t="str">
        <f t="shared" si="43"/>
        <v/>
      </c>
      <c r="AR26" s="49" t="str">
        <f t="shared" si="43"/>
        <v/>
      </c>
      <c r="AS26" s="49" t="str">
        <f t="shared" si="43"/>
        <v/>
      </c>
      <c r="AT26" s="49" t="str">
        <f t="shared" si="43"/>
        <v/>
      </c>
      <c r="AU26" s="49" t="str">
        <f t="shared" si="43"/>
        <v/>
      </c>
      <c r="AV26" s="49" t="str">
        <f t="shared" si="43"/>
        <v/>
      </c>
      <c r="AW26" s="49" t="str">
        <f t="shared" si="43"/>
        <v/>
      </c>
      <c r="AX26" s="49" t="str">
        <f t="shared" si="43"/>
        <v/>
      </c>
      <c r="AY26" s="49" t="str">
        <f t="shared" si="43"/>
        <v/>
      </c>
      <c r="AZ26" s="49" t="str">
        <f t="shared" si="43"/>
        <v/>
      </c>
      <c r="BA26" s="49" t="str">
        <f t="shared" si="43"/>
        <v/>
      </c>
      <c r="BB26" s="49" t="str">
        <f t="shared" si="43"/>
        <v/>
      </c>
      <c r="BC26" s="49" t="str">
        <f t="shared" si="43"/>
        <v/>
      </c>
      <c r="BD26" s="49" t="str">
        <f t="shared" si="43"/>
        <v/>
      </c>
      <c r="BE26" s="49" t="str">
        <f t="shared" si="43"/>
        <v/>
      </c>
      <c r="BF26" s="49" t="str">
        <f t="shared" si="43"/>
        <v/>
      </c>
      <c r="BG26" s="49" t="str">
        <f t="shared" si="43"/>
        <v/>
      </c>
      <c r="BH26" s="49" t="str">
        <f t="shared" si="43"/>
        <v/>
      </c>
      <c r="BI26" s="49" t="str">
        <f t="shared" si="43"/>
        <v/>
      </c>
      <c r="BJ26" s="49" t="str">
        <f t="shared" si="43"/>
        <v/>
      </c>
      <c r="BK26" s="49" t="str">
        <f t="shared" si="43"/>
        <v/>
      </c>
      <c r="BL26" s="49" t="str">
        <f t="shared" si="43"/>
        <v/>
      </c>
      <c r="BM26" s="49" t="str">
        <f t="shared" si="43"/>
        <v/>
      </c>
      <c r="BN26" s="49" t="str">
        <f t="shared" si="43"/>
        <v/>
      </c>
      <c r="BO26" s="49" t="str">
        <f t="shared" si="43"/>
        <v/>
      </c>
      <c r="BP26" s="49" t="str">
        <f t="shared" si="43"/>
        <v/>
      </c>
      <c r="BQ26" s="49" t="str">
        <f t="shared" si="43"/>
        <v/>
      </c>
      <c r="BR26" s="49" t="str">
        <f t="shared" si="43"/>
        <v/>
      </c>
      <c r="BS26" s="49" t="str">
        <f t="shared" si="43"/>
        <v/>
      </c>
      <c r="BT26" s="49" t="str">
        <f t="shared" si="43"/>
        <v/>
      </c>
      <c r="BU26" s="49" t="str">
        <f t="shared" si="43"/>
        <v/>
      </c>
      <c r="BV26" s="49" t="str">
        <f t="shared" si="43"/>
        <v/>
      </c>
      <c r="BW26" s="49" t="str">
        <f t="shared" si="43"/>
        <v/>
      </c>
      <c r="BX26" s="49" t="str">
        <f t="shared" si="43"/>
        <v/>
      </c>
      <c r="BY26" s="49" t="str">
        <f t="shared" si="43"/>
        <v/>
      </c>
      <c r="BZ26" s="49" t="str">
        <f t="shared" si="43"/>
        <v/>
      </c>
      <c r="CA26" s="49" t="str">
        <f t="shared" si="43"/>
        <v/>
      </c>
      <c r="CB26" s="49" t="str">
        <f t="shared" si="43"/>
        <v/>
      </c>
      <c r="CC26" s="49" t="str">
        <f t="shared" si="43"/>
        <v/>
      </c>
      <c r="CD26" s="49" t="str">
        <f t="shared" si="43"/>
        <v/>
      </c>
      <c r="CE26" s="49" t="str">
        <f t="shared" si="43"/>
        <v/>
      </c>
      <c r="CF26" s="49" t="str">
        <f t="shared" si="43"/>
        <v/>
      </c>
      <c r="CG26" s="49" t="str">
        <f t="shared" si="43"/>
        <v/>
      </c>
      <c r="CH26" s="49" t="str">
        <f t="shared" si="43"/>
        <v/>
      </c>
      <c r="CI26" s="49" t="str">
        <f t="shared" si="43"/>
        <v/>
      </c>
      <c r="CJ26" s="49" t="str">
        <f t="shared" si="43"/>
        <v/>
      </c>
      <c r="CK26" s="49" t="str">
        <f t="shared" si="43"/>
        <v/>
      </c>
      <c r="CL26" s="49" t="str">
        <f t="shared" si="43"/>
        <v/>
      </c>
      <c r="CM26" s="49" t="str">
        <f t="shared" si="43"/>
        <v/>
      </c>
      <c r="CN26" s="49" t="str">
        <f t="shared" si="43"/>
        <v/>
      </c>
      <c r="CO26" s="49" t="str">
        <f t="shared" si="43"/>
        <v/>
      </c>
      <c r="CP26" s="49" t="str">
        <f t="shared" si="43"/>
        <v/>
      </c>
      <c r="CQ26" s="49" t="str">
        <f t="shared" si="43"/>
        <v/>
      </c>
      <c r="CR26" s="49" t="str">
        <f t="shared" si="43"/>
        <v/>
      </c>
      <c r="CS26" s="49" t="str">
        <f t="shared" si="43"/>
        <v/>
      </c>
      <c r="CT26" s="49" t="str">
        <f t="shared" si="43"/>
        <v/>
      </c>
      <c r="CU26" s="49" t="str">
        <f t="shared" si="43"/>
        <v/>
      </c>
      <c r="CV26" s="49" t="str">
        <f t="shared" si="43"/>
        <v/>
      </c>
      <c r="CW26" s="49" t="str">
        <f t="shared" si="43"/>
        <v/>
      </c>
      <c r="CX26" s="49" t="str">
        <f t="shared" si="43"/>
        <v/>
      </c>
      <c r="CY26" s="49" t="str">
        <f t="shared" si="43"/>
        <v/>
      </c>
      <c r="CZ26" s="49" t="str">
        <f t="shared" si="43"/>
        <v/>
      </c>
      <c r="DA26" s="49" t="str">
        <f t="shared" si="43"/>
        <v/>
      </c>
      <c r="DB26" s="49" t="str">
        <f t="shared" si="43"/>
        <v/>
      </c>
      <c r="DC26" s="49" t="str">
        <f t="shared" si="43"/>
        <v/>
      </c>
      <c r="DD26" s="49" t="str">
        <f t="shared" si="43"/>
        <v/>
      </c>
      <c r="DE26" s="49" t="str">
        <f t="shared" si="43"/>
        <v/>
      </c>
      <c r="DF26" s="49" t="str">
        <f t="shared" si="43"/>
        <v/>
      </c>
      <c r="DG26" s="49" t="str">
        <f t="shared" si="43"/>
        <v/>
      </c>
      <c r="DH26" s="49" t="str">
        <f t="shared" si="43"/>
        <v/>
      </c>
      <c r="DI26" s="49" t="str">
        <f t="shared" si="43"/>
        <v/>
      </c>
      <c r="DJ26" s="49" t="str">
        <f t="shared" si="43"/>
        <v/>
      </c>
    </row>
    <row r="27" spans="1:114" ht="15.75" customHeight="1" x14ac:dyDescent="0.55000000000000004">
      <c r="A27" s="41" t="e">
        <f>MASANIELLO!#REF!</f>
        <v>#REF!</v>
      </c>
      <c r="B27" s="41" t="e">
        <f t="shared" si="2"/>
        <v>#VALUE!</v>
      </c>
      <c r="C27" s="42" t="e">
        <f t="shared" si="3"/>
        <v>#VALUE!</v>
      </c>
      <c r="D27" s="42" t="e">
        <f t="shared" si="4"/>
        <v>#VALUE!</v>
      </c>
      <c r="E27" s="42" t="e">
        <f t="shared" si="5"/>
        <v>#VALUE!</v>
      </c>
      <c r="F27" s="42" t="e">
        <f t="shared" si="6"/>
        <v>#VALUE!</v>
      </c>
      <c r="G27" s="50" t="e">
        <f t="shared" si="7"/>
        <v>#VALUE!</v>
      </c>
      <c r="H27" s="41" t="e">
        <f t="shared" si="8"/>
        <v>#VALUE!</v>
      </c>
      <c r="I27" s="41" t="e">
        <f t="shared" si="9"/>
        <v>#VALUE!</v>
      </c>
      <c r="J27" s="45" t="e">
        <f t="shared" si="10"/>
        <v>#VALUE!</v>
      </c>
      <c r="M27" s="48" t="b">
        <f t="shared" si="11"/>
        <v>0</v>
      </c>
      <c r="N27" s="49" t="e">
        <f t="shared" ref="N27:DJ27" si="44">IF(N$1&gt;$L$2,   "",   IF(N$1=$L$2,  1,  IF($L$2-N$1=$L$1-$M27, $L$3^($L$1-$M27), ($L$3*N28*O28/(N28+($L$3-1)*O28) ))))</f>
        <v>#DIV/0!</v>
      </c>
      <c r="O27" s="49" t="e">
        <f t="shared" si="44"/>
        <v>#DIV/0!</v>
      </c>
      <c r="P27" s="49" t="e">
        <f t="shared" si="44"/>
        <v>#DIV/0!</v>
      </c>
      <c r="Q27" s="49" t="e">
        <f t="shared" si="44"/>
        <v>#DIV/0!</v>
      </c>
      <c r="R27" s="49">
        <f t="shared" si="44"/>
        <v>1</v>
      </c>
      <c r="S27" s="49" t="str">
        <f t="shared" si="44"/>
        <v/>
      </c>
      <c r="T27" s="49" t="str">
        <f t="shared" si="44"/>
        <v/>
      </c>
      <c r="U27" s="49" t="str">
        <f t="shared" si="44"/>
        <v/>
      </c>
      <c r="V27" s="49" t="str">
        <f t="shared" si="44"/>
        <v/>
      </c>
      <c r="W27" s="49" t="str">
        <f t="shared" si="44"/>
        <v/>
      </c>
      <c r="X27" s="49" t="str">
        <f t="shared" si="44"/>
        <v/>
      </c>
      <c r="Y27" s="49" t="str">
        <f t="shared" si="44"/>
        <v/>
      </c>
      <c r="Z27" s="49" t="str">
        <f t="shared" si="44"/>
        <v/>
      </c>
      <c r="AA27" s="49" t="str">
        <f t="shared" si="44"/>
        <v/>
      </c>
      <c r="AB27" s="49" t="str">
        <f t="shared" si="44"/>
        <v/>
      </c>
      <c r="AC27" s="49" t="str">
        <f t="shared" si="44"/>
        <v/>
      </c>
      <c r="AD27" s="49" t="str">
        <f t="shared" si="44"/>
        <v/>
      </c>
      <c r="AE27" s="49" t="str">
        <f t="shared" si="44"/>
        <v/>
      </c>
      <c r="AF27" s="49" t="str">
        <f t="shared" si="44"/>
        <v/>
      </c>
      <c r="AG27" s="49" t="str">
        <f t="shared" si="44"/>
        <v/>
      </c>
      <c r="AH27" s="49" t="str">
        <f t="shared" si="44"/>
        <v/>
      </c>
      <c r="AI27" s="49" t="str">
        <f t="shared" si="44"/>
        <v/>
      </c>
      <c r="AJ27" s="49" t="str">
        <f t="shared" si="44"/>
        <v/>
      </c>
      <c r="AK27" s="49" t="str">
        <f t="shared" si="44"/>
        <v/>
      </c>
      <c r="AL27" s="49" t="str">
        <f t="shared" si="44"/>
        <v/>
      </c>
      <c r="AM27" s="49" t="str">
        <f t="shared" si="44"/>
        <v/>
      </c>
      <c r="AN27" s="49" t="str">
        <f t="shared" si="44"/>
        <v/>
      </c>
      <c r="AO27" s="49" t="str">
        <f t="shared" si="44"/>
        <v/>
      </c>
      <c r="AP27" s="49" t="str">
        <f t="shared" si="44"/>
        <v/>
      </c>
      <c r="AQ27" s="49" t="str">
        <f t="shared" si="44"/>
        <v/>
      </c>
      <c r="AR27" s="49" t="str">
        <f t="shared" si="44"/>
        <v/>
      </c>
      <c r="AS27" s="49" t="str">
        <f t="shared" si="44"/>
        <v/>
      </c>
      <c r="AT27" s="49" t="str">
        <f t="shared" si="44"/>
        <v/>
      </c>
      <c r="AU27" s="49" t="str">
        <f t="shared" si="44"/>
        <v/>
      </c>
      <c r="AV27" s="49" t="str">
        <f t="shared" si="44"/>
        <v/>
      </c>
      <c r="AW27" s="49" t="str">
        <f t="shared" si="44"/>
        <v/>
      </c>
      <c r="AX27" s="49" t="str">
        <f t="shared" si="44"/>
        <v/>
      </c>
      <c r="AY27" s="49" t="str">
        <f t="shared" si="44"/>
        <v/>
      </c>
      <c r="AZ27" s="49" t="str">
        <f t="shared" si="44"/>
        <v/>
      </c>
      <c r="BA27" s="49" t="str">
        <f t="shared" si="44"/>
        <v/>
      </c>
      <c r="BB27" s="49" t="str">
        <f t="shared" si="44"/>
        <v/>
      </c>
      <c r="BC27" s="49" t="str">
        <f t="shared" si="44"/>
        <v/>
      </c>
      <c r="BD27" s="49" t="str">
        <f t="shared" si="44"/>
        <v/>
      </c>
      <c r="BE27" s="49" t="str">
        <f t="shared" si="44"/>
        <v/>
      </c>
      <c r="BF27" s="49" t="str">
        <f t="shared" si="44"/>
        <v/>
      </c>
      <c r="BG27" s="49" t="str">
        <f t="shared" si="44"/>
        <v/>
      </c>
      <c r="BH27" s="49" t="str">
        <f t="shared" si="44"/>
        <v/>
      </c>
      <c r="BI27" s="49" t="str">
        <f t="shared" si="44"/>
        <v/>
      </c>
      <c r="BJ27" s="49" t="str">
        <f t="shared" si="44"/>
        <v/>
      </c>
      <c r="BK27" s="49" t="str">
        <f t="shared" si="44"/>
        <v/>
      </c>
      <c r="BL27" s="49" t="str">
        <f t="shared" si="44"/>
        <v/>
      </c>
      <c r="BM27" s="49" t="str">
        <f t="shared" si="44"/>
        <v/>
      </c>
      <c r="BN27" s="49" t="str">
        <f t="shared" si="44"/>
        <v/>
      </c>
      <c r="BO27" s="49" t="str">
        <f t="shared" si="44"/>
        <v/>
      </c>
      <c r="BP27" s="49" t="str">
        <f t="shared" si="44"/>
        <v/>
      </c>
      <c r="BQ27" s="49" t="str">
        <f t="shared" si="44"/>
        <v/>
      </c>
      <c r="BR27" s="49" t="str">
        <f t="shared" si="44"/>
        <v/>
      </c>
      <c r="BS27" s="49" t="str">
        <f t="shared" si="44"/>
        <v/>
      </c>
      <c r="BT27" s="49" t="str">
        <f t="shared" si="44"/>
        <v/>
      </c>
      <c r="BU27" s="49" t="str">
        <f t="shared" si="44"/>
        <v/>
      </c>
      <c r="BV27" s="49" t="str">
        <f t="shared" si="44"/>
        <v/>
      </c>
      <c r="BW27" s="49" t="str">
        <f t="shared" si="44"/>
        <v/>
      </c>
      <c r="BX27" s="49" t="str">
        <f t="shared" si="44"/>
        <v/>
      </c>
      <c r="BY27" s="49" t="str">
        <f t="shared" si="44"/>
        <v/>
      </c>
      <c r="BZ27" s="49" t="str">
        <f t="shared" si="44"/>
        <v/>
      </c>
      <c r="CA27" s="49" t="str">
        <f t="shared" si="44"/>
        <v/>
      </c>
      <c r="CB27" s="49" t="str">
        <f t="shared" si="44"/>
        <v/>
      </c>
      <c r="CC27" s="49" t="str">
        <f t="shared" si="44"/>
        <v/>
      </c>
      <c r="CD27" s="49" t="str">
        <f t="shared" si="44"/>
        <v/>
      </c>
      <c r="CE27" s="49" t="str">
        <f t="shared" si="44"/>
        <v/>
      </c>
      <c r="CF27" s="49" t="str">
        <f t="shared" si="44"/>
        <v/>
      </c>
      <c r="CG27" s="49" t="str">
        <f t="shared" si="44"/>
        <v/>
      </c>
      <c r="CH27" s="49" t="str">
        <f t="shared" si="44"/>
        <v/>
      </c>
      <c r="CI27" s="49" t="str">
        <f t="shared" si="44"/>
        <v/>
      </c>
      <c r="CJ27" s="49" t="str">
        <f t="shared" si="44"/>
        <v/>
      </c>
      <c r="CK27" s="49" t="str">
        <f t="shared" si="44"/>
        <v/>
      </c>
      <c r="CL27" s="49" t="str">
        <f t="shared" si="44"/>
        <v/>
      </c>
      <c r="CM27" s="49" t="str">
        <f t="shared" si="44"/>
        <v/>
      </c>
      <c r="CN27" s="49" t="str">
        <f t="shared" si="44"/>
        <v/>
      </c>
      <c r="CO27" s="49" t="str">
        <f t="shared" si="44"/>
        <v/>
      </c>
      <c r="CP27" s="49" t="str">
        <f t="shared" si="44"/>
        <v/>
      </c>
      <c r="CQ27" s="49" t="str">
        <f t="shared" si="44"/>
        <v/>
      </c>
      <c r="CR27" s="49" t="str">
        <f t="shared" si="44"/>
        <v/>
      </c>
      <c r="CS27" s="49" t="str">
        <f t="shared" si="44"/>
        <v/>
      </c>
      <c r="CT27" s="49" t="str">
        <f t="shared" si="44"/>
        <v/>
      </c>
      <c r="CU27" s="49" t="str">
        <f t="shared" si="44"/>
        <v/>
      </c>
      <c r="CV27" s="49" t="str">
        <f t="shared" si="44"/>
        <v/>
      </c>
      <c r="CW27" s="49" t="str">
        <f t="shared" si="44"/>
        <v/>
      </c>
      <c r="CX27" s="49" t="str">
        <f t="shared" si="44"/>
        <v/>
      </c>
      <c r="CY27" s="49" t="str">
        <f t="shared" si="44"/>
        <v/>
      </c>
      <c r="CZ27" s="49" t="str">
        <f t="shared" si="44"/>
        <v/>
      </c>
      <c r="DA27" s="49" t="str">
        <f t="shared" si="44"/>
        <v/>
      </c>
      <c r="DB27" s="49" t="str">
        <f t="shared" si="44"/>
        <v/>
      </c>
      <c r="DC27" s="49" t="str">
        <f t="shared" si="44"/>
        <v/>
      </c>
      <c r="DD27" s="49" t="str">
        <f t="shared" si="44"/>
        <v/>
      </c>
      <c r="DE27" s="49" t="str">
        <f t="shared" si="44"/>
        <v/>
      </c>
      <c r="DF27" s="49" t="str">
        <f t="shared" si="44"/>
        <v/>
      </c>
      <c r="DG27" s="49" t="str">
        <f t="shared" si="44"/>
        <v/>
      </c>
      <c r="DH27" s="49" t="str">
        <f t="shared" si="44"/>
        <v/>
      </c>
      <c r="DI27" s="49" t="str">
        <f t="shared" si="44"/>
        <v/>
      </c>
      <c r="DJ27" s="49" t="str">
        <f t="shared" si="44"/>
        <v/>
      </c>
    </row>
    <row r="28" spans="1:114" ht="15.75" customHeight="1" x14ac:dyDescent="0.55000000000000004">
      <c r="A28" s="41" t="e">
        <f>MASANIELLO!#REF!</f>
        <v>#REF!</v>
      </c>
      <c r="B28" s="41" t="e">
        <f t="shared" si="2"/>
        <v>#VALUE!</v>
      </c>
      <c r="C28" s="42" t="e">
        <f t="shared" si="3"/>
        <v>#VALUE!</v>
      </c>
      <c r="D28" s="42" t="e">
        <f t="shared" si="4"/>
        <v>#VALUE!</v>
      </c>
      <c r="E28" s="42" t="e">
        <f t="shared" si="5"/>
        <v>#VALUE!</v>
      </c>
      <c r="F28" s="42" t="e">
        <f t="shared" si="6"/>
        <v>#VALUE!</v>
      </c>
      <c r="G28" s="50" t="e">
        <f t="shared" si="7"/>
        <v>#VALUE!</v>
      </c>
      <c r="H28" s="41" t="e">
        <f t="shared" si="8"/>
        <v>#VALUE!</v>
      </c>
      <c r="I28" s="41" t="e">
        <f t="shared" si="9"/>
        <v>#VALUE!</v>
      </c>
      <c r="J28" s="45" t="e">
        <f t="shared" si="10"/>
        <v>#VALUE!</v>
      </c>
      <c r="M28" s="48" t="b">
        <f t="shared" si="11"/>
        <v>0</v>
      </c>
      <c r="N28" s="49" t="e">
        <f t="shared" ref="N28:DJ28" si="45">IF(N$1&gt;$L$2,   "",   IF(N$1=$L$2,  1,  IF($L$2-N$1=$L$1-$M28, $L$3^($L$1-$M28), ($L$3*N29*O29/(N29+($L$3-1)*O29) ))))</f>
        <v>#DIV/0!</v>
      </c>
      <c r="O28" s="49" t="e">
        <f t="shared" si="45"/>
        <v>#DIV/0!</v>
      </c>
      <c r="P28" s="49" t="e">
        <f t="shared" si="45"/>
        <v>#DIV/0!</v>
      </c>
      <c r="Q28" s="49" t="e">
        <f t="shared" si="45"/>
        <v>#DIV/0!</v>
      </c>
      <c r="R28" s="49">
        <f t="shared" si="45"/>
        <v>1</v>
      </c>
      <c r="S28" s="49" t="str">
        <f t="shared" si="45"/>
        <v/>
      </c>
      <c r="T28" s="49" t="str">
        <f t="shared" si="45"/>
        <v/>
      </c>
      <c r="U28" s="49" t="str">
        <f t="shared" si="45"/>
        <v/>
      </c>
      <c r="V28" s="49" t="str">
        <f t="shared" si="45"/>
        <v/>
      </c>
      <c r="W28" s="49" t="str">
        <f t="shared" si="45"/>
        <v/>
      </c>
      <c r="X28" s="49" t="str">
        <f t="shared" si="45"/>
        <v/>
      </c>
      <c r="Y28" s="49" t="str">
        <f t="shared" si="45"/>
        <v/>
      </c>
      <c r="Z28" s="49" t="str">
        <f t="shared" si="45"/>
        <v/>
      </c>
      <c r="AA28" s="49" t="str">
        <f t="shared" si="45"/>
        <v/>
      </c>
      <c r="AB28" s="49" t="str">
        <f t="shared" si="45"/>
        <v/>
      </c>
      <c r="AC28" s="49" t="str">
        <f t="shared" si="45"/>
        <v/>
      </c>
      <c r="AD28" s="49" t="str">
        <f t="shared" si="45"/>
        <v/>
      </c>
      <c r="AE28" s="49" t="str">
        <f t="shared" si="45"/>
        <v/>
      </c>
      <c r="AF28" s="49" t="str">
        <f t="shared" si="45"/>
        <v/>
      </c>
      <c r="AG28" s="49" t="str">
        <f t="shared" si="45"/>
        <v/>
      </c>
      <c r="AH28" s="49" t="str">
        <f t="shared" si="45"/>
        <v/>
      </c>
      <c r="AI28" s="49" t="str">
        <f t="shared" si="45"/>
        <v/>
      </c>
      <c r="AJ28" s="49" t="str">
        <f t="shared" si="45"/>
        <v/>
      </c>
      <c r="AK28" s="49" t="str">
        <f t="shared" si="45"/>
        <v/>
      </c>
      <c r="AL28" s="49" t="str">
        <f t="shared" si="45"/>
        <v/>
      </c>
      <c r="AM28" s="49" t="str">
        <f t="shared" si="45"/>
        <v/>
      </c>
      <c r="AN28" s="49" t="str">
        <f t="shared" si="45"/>
        <v/>
      </c>
      <c r="AO28" s="49" t="str">
        <f t="shared" si="45"/>
        <v/>
      </c>
      <c r="AP28" s="49" t="str">
        <f t="shared" si="45"/>
        <v/>
      </c>
      <c r="AQ28" s="49" t="str">
        <f t="shared" si="45"/>
        <v/>
      </c>
      <c r="AR28" s="49" t="str">
        <f t="shared" si="45"/>
        <v/>
      </c>
      <c r="AS28" s="49" t="str">
        <f t="shared" si="45"/>
        <v/>
      </c>
      <c r="AT28" s="49" t="str">
        <f t="shared" si="45"/>
        <v/>
      </c>
      <c r="AU28" s="49" t="str">
        <f t="shared" si="45"/>
        <v/>
      </c>
      <c r="AV28" s="49" t="str">
        <f t="shared" si="45"/>
        <v/>
      </c>
      <c r="AW28" s="49" t="str">
        <f t="shared" si="45"/>
        <v/>
      </c>
      <c r="AX28" s="49" t="str">
        <f t="shared" si="45"/>
        <v/>
      </c>
      <c r="AY28" s="49" t="str">
        <f t="shared" si="45"/>
        <v/>
      </c>
      <c r="AZ28" s="49" t="str">
        <f t="shared" si="45"/>
        <v/>
      </c>
      <c r="BA28" s="49" t="str">
        <f t="shared" si="45"/>
        <v/>
      </c>
      <c r="BB28" s="49" t="str">
        <f t="shared" si="45"/>
        <v/>
      </c>
      <c r="BC28" s="49" t="str">
        <f t="shared" si="45"/>
        <v/>
      </c>
      <c r="BD28" s="49" t="str">
        <f t="shared" si="45"/>
        <v/>
      </c>
      <c r="BE28" s="49" t="str">
        <f t="shared" si="45"/>
        <v/>
      </c>
      <c r="BF28" s="49" t="str">
        <f t="shared" si="45"/>
        <v/>
      </c>
      <c r="BG28" s="49" t="str">
        <f t="shared" si="45"/>
        <v/>
      </c>
      <c r="BH28" s="49" t="str">
        <f t="shared" si="45"/>
        <v/>
      </c>
      <c r="BI28" s="49" t="str">
        <f t="shared" si="45"/>
        <v/>
      </c>
      <c r="BJ28" s="49" t="str">
        <f t="shared" si="45"/>
        <v/>
      </c>
      <c r="BK28" s="49" t="str">
        <f t="shared" si="45"/>
        <v/>
      </c>
      <c r="BL28" s="49" t="str">
        <f t="shared" si="45"/>
        <v/>
      </c>
      <c r="BM28" s="49" t="str">
        <f t="shared" si="45"/>
        <v/>
      </c>
      <c r="BN28" s="49" t="str">
        <f t="shared" si="45"/>
        <v/>
      </c>
      <c r="BO28" s="49" t="str">
        <f t="shared" si="45"/>
        <v/>
      </c>
      <c r="BP28" s="49" t="str">
        <f t="shared" si="45"/>
        <v/>
      </c>
      <c r="BQ28" s="49" t="str">
        <f t="shared" si="45"/>
        <v/>
      </c>
      <c r="BR28" s="49" t="str">
        <f t="shared" si="45"/>
        <v/>
      </c>
      <c r="BS28" s="49" t="str">
        <f t="shared" si="45"/>
        <v/>
      </c>
      <c r="BT28" s="49" t="str">
        <f t="shared" si="45"/>
        <v/>
      </c>
      <c r="BU28" s="49" t="str">
        <f t="shared" si="45"/>
        <v/>
      </c>
      <c r="BV28" s="49" t="str">
        <f t="shared" si="45"/>
        <v/>
      </c>
      <c r="BW28" s="49" t="str">
        <f t="shared" si="45"/>
        <v/>
      </c>
      <c r="BX28" s="49" t="str">
        <f t="shared" si="45"/>
        <v/>
      </c>
      <c r="BY28" s="49" t="str">
        <f t="shared" si="45"/>
        <v/>
      </c>
      <c r="BZ28" s="49" t="str">
        <f t="shared" si="45"/>
        <v/>
      </c>
      <c r="CA28" s="49" t="str">
        <f t="shared" si="45"/>
        <v/>
      </c>
      <c r="CB28" s="49" t="str">
        <f t="shared" si="45"/>
        <v/>
      </c>
      <c r="CC28" s="49" t="str">
        <f t="shared" si="45"/>
        <v/>
      </c>
      <c r="CD28" s="49" t="str">
        <f t="shared" si="45"/>
        <v/>
      </c>
      <c r="CE28" s="49" t="str">
        <f t="shared" si="45"/>
        <v/>
      </c>
      <c r="CF28" s="49" t="str">
        <f t="shared" si="45"/>
        <v/>
      </c>
      <c r="CG28" s="49" t="str">
        <f t="shared" si="45"/>
        <v/>
      </c>
      <c r="CH28" s="49" t="str">
        <f t="shared" si="45"/>
        <v/>
      </c>
      <c r="CI28" s="49" t="str">
        <f t="shared" si="45"/>
        <v/>
      </c>
      <c r="CJ28" s="49" t="str">
        <f t="shared" si="45"/>
        <v/>
      </c>
      <c r="CK28" s="49" t="str">
        <f t="shared" si="45"/>
        <v/>
      </c>
      <c r="CL28" s="49" t="str">
        <f t="shared" si="45"/>
        <v/>
      </c>
      <c r="CM28" s="49" t="str">
        <f t="shared" si="45"/>
        <v/>
      </c>
      <c r="CN28" s="49" t="str">
        <f t="shared" si="45"/>
        <v/>
      </c>
      <c r="CO28" s="49" t="str">
        <f t="shared" si="45"/>
        <v/>
      </c>
      <c r="CP28" s="49" t="str">
        <f t="shared" si="45"/>
        <v/>
      </c>
      <c r="CQ28" s="49" t="str">
        <f t="shared" si="45"/>
        <v/>
      </c>
      <c r="CR28" s="49" t="str">
        <f t="shared" si="45"/>
        <v/>
      </c>
      <c r="CS28" s="49" t="str">
        <f t="shared" si="45"/>
        <v/>
      </c>
      <c r="CT28" s="49" t="str">
        <f t="shared" si="45"/>
        <v/>
      </c>
      <c r="CU28" s="49" t="str">
        <f t="shared" si="45"/>
        <v/>
      </c>
      <c r="CV28" s="49" t="str">
        <f t="shared" si="45"/>
        <v/>
      </c>
      <c r="CW28" s="49" t="str">
        <f t="shared" si="45"/>
        <v/>
      </c>
      <c r="CX28" s="49" t="str">
        <f t="shared" si="45"/>
        <v/>
      </c>
      <c r="CY28" s="49" t="str">
        <f t="shared" si="45"/>
        <v/>
      </c>
      <c r="CZ28" s="49" t="str">
        <f t="shared" si="45"/>
        <v/>
      </c>
      <c r="DA28" s="49" t="str">
        <f t="shared" si="45"/>
        <v/>
      </c>
      <c r="DB28" s="49" t="str">
        <f t="shared" si="45"/>
        <v/>
      </c>
      <c r="DC28" s="49" t="str">
        <f t="shared" si="45"/>
        <v/>
      </c>
      <c r="DD28" s="49" t="str">
        <f t="shared" si="45"/>
        <v/>
      </c>
      <c r="DE28" s="49" t="str">
        <f t="shared" si="45"/>
        <v/>
      </c>
      <c r="DF28" s="49" t="str">
        <f t="shared" si="45"/>
        <v/>
      </c>
      <c r="DG28" s="49" t="str">
        <f t="shared" si="45"/>
        <v/>
      </c>
      <c r="DH28" s="49" t="str">
        <f t="shared" si="45"/>
        <v/>
      </c>
      <c r="DI28" s="49" t="str">
        <f t="shared" si="45"/>
        <v/>
      </c>
      <c r="DJ28" s="49" t="str">
        <f t="shared" si="45"/>
        <v/>
      </c>
    </row>
    <row r="29" spans="1:114" ht="15.75" customHeight="1" x14ac:dyDescent="0.55000000000000004">
      <c r="A29" s="41" t="e">
        <f>MASANIELLO!#REF!</f>
        <v>#REF!</v>
      </c>
      <c r="B29" s="41" t="e">
        <f t="shared" si="2"/>
        <v>#VALUE!</v>
      </c>
      <c r="C29" s="42" t="e">
        <f t="shared" si="3"/>
        <v>#VALUE!</v>
      </c>
      <c r="D29" s="42" t="e">
        <f t="shared" si="4"/>
        <v>#VALUE!</v>
      </c>
      <c r="E29" s="42" t="e">
        <f t="shared" si="5"/>
        <v>#VALUE!</v>
      </c>
      <c r="F29" s="42" t="e">
        <f t="shared" si="6"/>
        <v>#VALUE!</v>
      </c>
      <c r="G29" s="50" t="e">
        <f t="shared" si="7"/>
        <v>#VALUE!</v>
      </c>
      <c r="H29" s="41" t="e">
        <f t="shared" si="8"/>
        <v>#VALUE!</v>
      </c>
      <c r="I29" s="41" t="e">
        <f t="shared" si="9"/>
        <v>#VALUE!</v>
      </c>
      <c r="J29" s="45" t="e">
        <f t="shared" si="10"/>
        <v>#VALUE!</v>
      </c>
      <c r="M29" s="48" t="b">
        <f t="shared" si="11"/>
        <v>0</v>
      </c>
      <c r="N29" s="49" t="e">
        <f t="shared" ref="N29:DJ29" si="46">IF(N$1&gt;$L$2,   "",   IF(N$1=$L$2,  1,  IF($L$2-N$1=$L$1-$M29, $L$3^($L$1-$M29), ($L$3*N30*O30/(N30+($L$3-1)*O30) ))))</f>
        <v>#DIV/0!</v>
      </c>
      <c r="O29" s="49" t="e">
        <f t="shared" si="46"/>
        <v>#DIV/0!</v>
      </c>
      <c r="P29" s="49" t="e">
        <f t="shared" si="46"/>
        <v>#DIV/0!</v>
      </c>
      <c r="Q29" s="49" t="e">
        <f t="shared" si="46"/>
        <v>#DIV/0!</v>
      </c>
      <c r="R29" s="49">
        <f t="shared" si="46"/>
        <v>1</v>
      </c>
      <c r="S29" s="49" t="str">
        <f t="shared" si="46"/>
        <v/>
      </c>
      <c r="T29" s="49" t="str">
        <f t="shared" si="46"/>
        <v/>
      </c>
      <c r="U29" s="49" t="str">
        <f t="shared" si="46"/>
        <v/>
      </c>
      <c r="V29" s="49" t="str">
        <f t="shared" si="46"/>
        <v/>
      </c>
      <c r="W29" s="49" t="str">
        <f t="shared" si="46"/>
        <v/>
      </c>
      <c r="X29" s="49" t="str">
        <f t="shared" si="46"/>
        <v/>
      </c>
      <c r="Y29" s="49" t="str">
        <f t="shared" si="46"/>
        <v/>
      </c>
      <c r="Z29" s="49" t="str">
        <f t="shared" si="46"/>
        <v/>
      </c>
      <c r="AA29" s="49" t="str">
        <f t="shared" si="46"/>
        <v/>
      </c>
      <c r="AB29" s="49" t="str">
        <f t="shared" si="46"/>
        <v/>
      </c>
      <c r="AC29" s="49" t="str">
        <f t="shared" si="46"/>
        <v/>
      </c>
      <c r="AD29" s="49" t="str">
        <f t="shared" si="46"/>
        <v/>
      </c>
      <c r="AE29" s="49" t="str">
        <f t="shared" si="46"/>
        <v/>
      </c>
      <c r="AF29" s="49" t="str">
        <f t="shared" si="46"/>
        <v/>
      </c>
      <c r="AG29" s="49" t="str">
        <f t="shared" si="46"/>
        <v/>
      </c>
      <c r="AH29" s="49" t="str">
        <f t="shared" si="46"/>
        <v/>
      </c>
      <c r="AI29" s="49" t="str">
        <f t="shared" si="46"/>
        <v/>
      </c>
      <c r="AJ29" s="49" t="str">
        <f t="shared" si="46"/>
        <v/>
      </c>
      <c r="AK29" s="49" t="str">
        <f t="shared" si="46"/>
        <v/>
      </c>
      <c r="AL29" s="49" t="str">
        <f t="shared" si="46"/>
        <v/>
      </c>
      <c r="AM29" s="49" t="str">
        <f t="shared" si="46"/>
        <v/>
      </c>
      <c r="AN29" s="49" t="str">
        <f t="shared" si="46"/>
        <v/>
      </c>
      <c r="AO29" s="49" t="str">
        <f t="shared" si="46"/>
        <v/>
      </c>
      <c r="AP29" s="49" t="str">
        <f t="shared" si="46"/>
        <v/>
      </c>
      <c r="AQ29" s="49" t="str">
        <f t="shared" si="46"/>
        <v/>
      </c>
      <c r="AR29" s="49" t="str">
        <f t="shared" si="46"/>
        <v/>
      </c>
      <c r="AS29" s="49" t="str">
        <f t="shared" si="46"/>
        <v/>
      </c>
      <c r="AT29" s="49" t="str">
        <f t="shared" si="46"/>
        <v/>
      </c>
      <c r="AU29" s="49" t="str">
        <f t="shared" si="46"/>
        <v/>
      </c>
      <c r="AV29" s="49" t="str">
        <f t="shared" si="46"/>
        <v/>
      </c>
      <c r="AW29" s="49" t="str">
        <f t="shared" si="46"/>
        <v/>
      </c>
      <c r="AX29" s="49" t="str">
        <f t="shared" si="46"/>
        <v/>
      </c>
      <c r="AY29" s="49" t="str">
        <f t="shared" si="46"/>
        <v/>
      </c>
      <c r="AZ29" s="49" t="str">
        <f t="shared" si="46"/>
        <v/>
      </c>
      <c r="BA29" s="49" t="str">
        <f t="shared" si="46"/>
        <v/>
      </c>
      <c r="BB29" s="49" t="str">
        <f t="shared" si="46"/>
        <v/>
      </c>
      <c r="BC29" s="49" t="str">
        <f t="shared" si="46"/>
        <v/>
      </c>
      <c r="BD29" s="49" t="str">
        <f t="shared" si="46"/>
        <v/>
      </c>
      <c r="BE29" s="49" t="str">
        <f t="shared" si="46"/>
        <v/>
      </c>
      <c r="BF29" s="49" t="str">
        <f t="shared" si="46"/>
        <v/>
      </c>
      <c r="BG29" s="49" t="str">
        <f t="shared" si="46"/>
        <v/>
      </c>
      <c r="BH29" s="49" t="str">
        <f t="shared" si="46"/>
        <v/>
      </c>
      <c r="BI29" s="49" t="str">
        <f t="shared" si="46"/>
        <v/>
      </c>
      <c r="BJ29" s="49" t="str">
        <f t="shared" si="46"/>
        <v/>
      </c>
      <c r="BK29" s="49" t="str">
        <f t="shared" si="46"/>
        <v/>
      </c>
      <c r="BL29" s="49" t="str">
        <f t="shared" si="46"/>
        <v/>
      </c>
      <c r="BM29" s="49" t="str">
        <f t="shared" si="46"/>
        <v/>
      </c>
      <c r="BN29" s="49" t="str">
        <f t="shared" si="46"/>
        <v/>
      </c>
      <c r="BO29" s="49" t="str">
        <f t="shared" si="46"/>
        <v/>
      </c>
      <c r="BP29" s="49" t="str">
        <f t="shared" si="46"/>
        <v/>
      </c>
      <c r="BQ29" s="49" t="str">
        <f t="shared" si="46"/>
        <v/>
      </c>
      <c r="BR29" s="49" t="str">
        <f t="shared" si="46"/>
        <v/>
      </c>
      <c r="BS29" s="49" t="str">
        <f t="shared" si="46"/>
        <v/>
      </c>
      <c r="BT29" s="49" t="str">
        <f t="shared" si="46"/>
        <v/>
      </c>
      <c r="BU29" s="49" t="str">
        <f t="shared" si="46"/>
        <v/>
      </c>
      <c r="BV29" s="49" t="str">
        <f t="shared" si="46"/>
        <v/>
      </c>
      <c r="BW29" s="49" t="str">
        <f t="shared" si="46"/>
        <v/>
      </c>
      <c r="BX29" s="49" t="str">
        <f t="shared" si="46"/>
        <v/>
      </c>
      <c r="BY29" s="49" t="str">
        <f t="shared" si="46"/>
        <v/>
      </c>
      <c r="BZ29" s="49" t="str">
        <f t="shared" si="46"/>
        <v/>
      </c>
      <c r="CA29" s="49" t="str">
        <f t="shared" si="46"/>
        <v/>
      </c>
      <c r="CB29" s="49" t="str">
        <f t="shared" si="46"/>
        <v/>
      </c>
      <c r="CC29" s="49" t="str">
        <f t="shared" si="46"/>
        <v/>
      </c>
      <c r="CD29" s="49" t="str">
        <f t="shared" si="46"/>
        <v/>
      </c>
      <c r="CE29" s="49" t="str">
        <f t="shared" si="46"/>
        <v/>
      </c>
      <c r="CF29" s="49" t="str">
        <f t="shared" si="46"/>
        <v/>
      </c>
      <c r="CG29" s="49" t="str">
        <f t="shared" si="46"/>
        <v/>
      </c>
      <c r="CH29" s="49" t="str">
        <f t="shared" si="46"/>
        <v/>
      </c>
      <c r="CI29" s="49" t="str">
        <f t="shared" si="46"/>
        <v/>
      </c>
      <c r="CJ29" s="49" t="str">
        <f t="shared" si="46"/>
        <v/>
      </c>
      <c r="CK29" s="49" t="str">
        <f t="shared" si="46"/>
        <v/>
      </c>
      <c r="CL29" s="49" t="str">
        <f t="shared" si="46"/>
        <v/>
      </c>
      <c r="CM29" s="49" t="str">
        <f t="shared" si="46"/>
        <v/>
      </c>
      <c r="CN29" s="49" t="str">
        <f t="shared" si="46"/>
        <v/>
      </c>
      <c r="CO29" s="49" t="str">
        <f t="shared" si="46"/>
        <v/>
      </c>
      <c r="CP29" s="49" t="str">
        <f t="shared" si="46"/>
        <v/>
      </c>
      <c r="CQ29" s="49" t="str">
        <f t="shared" si="46"/>
        <v/>
      </c>
      <c r="CR29" s="49" t="str">
        <f t="shared" si="46"/>
        <v/>
      </c>
      <c r="CS29" s="49" t="str">
        <f t="shared" si="46"/>
        <v/>
      </c>
      <c r="CT29" s="49" t="str">
        <f t="shared" si="46"/>
        <v/>
      </c>
      <c r="CU29" s="49" t="str">
        <f t="shared" si="46"/>
        <v/>
      </c>
      <c r="CV29" s="49" t="str">
        <f t="shared" si="46"/>
        <v/>
      </c>
      <c r="CW29" s="49" t="str">
        <f t="shared" si="46"/>
        <v/>
      </c>
      <c r="CX29" s="49" t="str">
        <f t="shared" si="46"/>
        <v/>
      </c>
      <c r="CY29" s="49" t="str">
        <f t="shared" si="46"/>
        <v/>
      </c>
      <c r="CZ29" s="49" t="str">
        <f t="shared" si="46"/>
        <v/>
      </c>
      <c r="DA29" s="49" t="str">
        <f t="shared" si="46"/>
        <v/>
      </c>
      <c r="DB29" s="49" t="str">
        <f t="shared" si="46"/>
        <v/>
      </c>
      <c r="DC29" s="49" t="str">
        <f t="shared" si="46"/>
        <v/>
      </c>
      <c r="DD29" s="49" t="str">
        <f t="shared" si="46"/>
        <v/>
      </c>
      <c r="DE29" s="49" t="str">
        <f t="shared" si="46"/>
        <v/>
      </c>
      <c r="DF29" s="49" t="str">
        <f t="shared" si="46"/>
        <v/>
      </c>
      <c r="DG29" s="49" t="str">
        <f t="shared" si="46"/>
        <v/>
      </c>
      <c r="DH29" s="49" t="str">
        <f t="shared" si="46"/>
        <v/>
      </c>
      <c r="DI29" s="49" t="str">
        <f t="shared" si="46"/>
        <v/>
      </c>
      <c r="DJ29" s="49" t="str">
        <f t="shared" si="46"/>
        <v/>
      </c>
    </row>
    <row r="30" spans="1:114" ht="15.75" customHeight="1" x14ac:dyDescent="0.55000000000000004">
      <c r="A30" s="41" t="e">
        <f>MASANIELLO!#REF!</f>
        <v>#REF!</v>
      </c>
      <c r="B30" s="41" t="e">
        <f t="shared" si="2"/>
        <v>#VALUE!</v>
      </c>
      <c r="C30" s="42" t="e">
        <f t="shared" si="3"/>
        <v>#VALUE!</v>
      </c>
      <c r="D30" s="42" t="e">
        <f t="shared" si="4"/>
        <v>#VALUE!</v>
      </c>
      <c r="E30" s="42" t="e">
        <f t="shared" si="5"/>
        <v>#VALUE!</v>
      </c>
      <c r="F30" s="42" t="e">
        <f t="shared" si="6"/>
        <v>#VALUE!</v>
      </c>
      <c r="G30" s="50" t="e">
        <f t="shared" si="7"/>
        <v>#VALUE!</v>
      </c>
      <c r="H30" s="41" t="e">
        <f t="shared" si="8"/>
        <v>#VALUE!</v>
      </c>
      <c r="I30" s="41" t="e">
        <f t="shared" si="9"/>
        <v>#VALUE!</v>
      </c>
      <c r="J30" s="45" t="e">
        <f t="shared" si="10"/>
        <v>#VALUE!</v>
      </c>
      <c r="M30" s="48" t="b">
        <f t="shared" si="11"/>
        <v>0</v>
      </c>
      <c r="N30" s="49" t="e">
        <f t="shared" ref="N30:DJ30" si="47">IF(N$1&gt;$L$2,   "",   IF(N$1=$L$2,  1,  IF($L$2-N$1=$L$1-$M30, $L$3^($L$1-$M30), ($L$3*N31*O31/(N31+($L$3-1)*O31) ))))</f>
        <v>#DIV/0!</v>
      </c>
      <c r="O30" s="49" t="e">
        <f t="shared" si="47"/>
        <v>#DIV/0!</v>
      </c>
      <c r="P30" s="49" t="e">
        <f t="shared" si="47"/>
        <v>#DIV/0!</v>
      </c>
      <c r="Q30" s="49" t="e">
        <f t="shared" si="47"/>
        <v>#DIV/0!</v>
      </c>
      <c r="R30" s="49">
        <f t="shared" si="47"/>
        <v>1</v>
      </c>
      <c r="S30" s="49" t="str">
        <f t="shared" si="47"/>
        <v/>
      </c>
      <c r="T30" s="49" t="str">
        <f t="shared" si="47"/>
        <v/>
      </c>
      <c r="U30" s="49" t="str">
        <f t="shared" si="47"/>
        <v/>
      </c>
      <c r="V30" s="49" t="str">
        <f t="shared" si="47"/>
        <v/>
      </c>
      <c r="W30" s="49" t="str">
        <f t="shared" si="47"/>
        <v/>
      </c>
      <c r="X30" s="49" t="str">
        <f t="shared" si="47"/>
        <v/>
      </c>
      <c r="Y30" s="49" t="str">
        <f t="shared" si="47"/>
        <v/>
      </c>
      <c r="Z30" s="49" t="str">
        <f t="shared" si="47"/>
        <v/>
      </c>
      <c r="AA30" s="49" t="str">
        <f t="shared" si="47"/>
        <v/>
      </c>
      <c r="AB30" s="49" t="str">
        <f t="shared" si="47"/>
        <v/>
      </c>
      <c r="AC30" s="49" t="str">
        <f t="shared" si="47"/>
        <v/>
      </c>
      <c r="AD30" s="49" t="str">
        <f t="shared" si="47"/>
        <v/>
      </c>
      <c r="AE30" s="49" t="str">
        <f t="shared" si="47"/>
        <v/>
      </c>
      <c r="AF30" s="49" t="str">
        <f t="shared" si="47"/>
        <v/>
      </c>
      <c r="AG30" s="49" t="str">
        <f t="shared" si="47"/>
        <v/>
      </c>
      <c r="AH30" s="49" t="str">
        <f t="shared" si="47"/>
        <v/>
      </c>
      <c r="AI30" s="49" t="str">
        <f t="shared" si="47"/>
        <v/>
      </c>
      <c r="AJ30" s="49" t="str">
        <f t="shared" si="47"/>
        <v/>
      </c>
      <c r="AK30" s="49" t="str">
        <f t="shared" si="47"/>
        <v/>
      </c>
      <c r="AL30" s="49" t="str">
        <f t="shared" si="47"/>
        <v/>
      </c>
      <c r="AM30" s="49" t="str">
        <f t="shared" si="47"/>
        <v/>
      </c>
      <c r="AN30" s="49" t="str">
        <f t="shared" si="47"/>
        <v/>
      </c>
      <c r="AO30" s="49" t="str">
        <f t="shared" si="47"/>
        <v/>
      </c>
      <c r="AP30" s="49" t="str">
        <f t="shared" si="47"/>
        <v/>
      </c>
      <c r="AQ30" s="49" t="str">
        <f t="shared" si="47"/>
        <v/>
      </c>
      <c r="AR30" s="49" t="str">
        <f t="shared" si="47"/>
        <v/>
      </c>
      <c r="AS30" s="49" t="str">
        <f t="shared" si="47"/>
        <v/>
      </c>
      <c r="AT30" s="49" t="str">
        <f t="shared" si="47"/>
        <v/>
      </c>
      <c r="AU30" s="49" t="str">
        <f t="shared" si="47"/>
        <v/>
      </c>
      <c r="AV30" s="49" t="str">
        <f t="shared" si="47"/>
        <v/>
      </c>
      <c r="AW30" s="49" t="str">
        <f t="shared" si="47"/>
        <v/>
      </c>
      <c r="AX30" s="49" t="str">
        <f t="shared" si="47"/>
        <v/>
      </c>
      <c r="AY30" s="49" t="str">
        <f t="shared" si="47"/>
        <v/>
      </c>
      <c r="AZ30" s="49" t="str">
        <f t="shared" si="47"/>
        <v/>
      </c>
      <c r="BA30" s="49" t="str">
        <f t="shared" si="47"/>
        <v/>
      </c>
      <c r="BB30" s="49" t="str">
        <f t="shared" si="47"/>
        <v/>
      </c>
      <c r="BC30" s="49" t="str">
        <f t="shared" si="47"/>
        <v/>
      </c>
      <c r="BD30" s="49" t="str">
        <f t="shared" si="47"/>
        <v/>
      </c>
      <c r="BE30" s="49" t="str">
        <f t="shared" si="47"/>
        <v/>
      </c>
      <c r="BF30" s="49" t="str">
        <f t="shared" si="47"/>
        <v/>
      </c>
      <c r="BG30" s="49" t="str">
        <f t="shared" si="47"/>
        <v/>
      </c>
      <c r="BH30" s="49" t="str">
        <f t="shared" si="47"/>
        <v/>
      </c>
      <c r="BI30" s="49" t="str">
        <f t="shared" si="47"/>
        <v/>
      </c>
      <c r="BJ30" s="49" t="str">
        <f t="shared" si="47"/>
        <v/>
      </c>
      <c r="BK30" s="49" t="str">
        <f t="shared" si="47"/>
        <v/>
      </c>
      <c r="BL30" s="49" t="str">
        <f t="shared" si="47"/>
        <v/>
      </c>
      <c r="BM30" s="49" t="str">
        <f t="shared" si="47"/>
        <v/>
      </c>
      <c r="BN30" s="49" t="str">
        <f t="shared" si="47"/>
        <v/>
      </c>
      <c r="BO30" s="49" t="str">
        <f t="shared" si="47"/>
        <v/>
      </c>
      <c r="BP30" s="49" t="str">
        <f t="shared" si="47"/>
        <v/>
      </c>
      <c r="BQ30" s="49" t="str">
        <f t="shared" si="47"/>
        <v/>
      </c>
      <c r="BR30" s="49" t="str">
        <f t="shared" si="47"/>
        <v/>
      </c>
      <c r="BS30" s="49" t="str">
        <f t="shared" si="47"/>
        <v/>
      </c>
      <c r="BT30" s="49" t="str">
        <f t="shared" si="47"/>
        <v/>
      </c>
      <c r="BU30" s="49" t="str">
        <f t="shared" si="47"/>
        <v/>
      </c>
      <c r="BV30" s="49" t="str">
        <f t="shared" si="47"/>
        <v/>
      </c>
      <c r="BW30" s="49" t="str">
        <f t="shared" si="47"/>
        <v/>
      </c>
      <c r="BX30" s="49" t="str">
        <f t="shared" si="47"/>
        <v/>
      </c>
      <c r="BY30" s="49" t="str">
        <f t="shared" si="47"/>
        <v/>
      </c>
      <c r="BZ30" s="49" t="str">
        <f t="shared" si="47"/>
        <v/>
      </c>
      <c r="CA30" s="49" t="str">
        <f t="shared" si="47"/>
        <v/>
      </c>
      <c r="CB30" s="49" t="str">
        <f t="shared" si="47"/>
        <v/>
      </c>
      <c r="CC30" s="49" t="str">
        <f t="shared" si="47"/>
        <v/>
      </c>
      <c r="CD30" s="49" t="str">
        <f t="shared" si="47"/>
        <v/>
      </c>
      <c r="CE30" s="49" t="str">
        <f t="shared" si="47"/>
        <v/>
      </c>
      <c r="CF30" s="49" t="str">
        <f t="shared" si="47"/>
        <v/>
      </c>
      <c r="CG30" s="49" t="str">
        <f t="shared" si="47"/>
        <v/>
      </c>
      <c r="CH30" s="49" t="str">
        <f t="shared" si="47"/>
        <v/>
      </c>
      <c r="CI30" s="49" t="str">
        <f t="shared" si="47"/>
        <v/>
      </c>
      <c r="CJ30" s="49" t="str">
        <f t="shared" si="47"/>
        <v/>
      </c>
      <c r="CK30" s="49" t="str">
        <f t="shared" si="47"/>
        <v/>
      </c>
      <c r="CL30" s="49" t="str">
        <f t="shared" si="47"/>
        <v/>
      </c>
      <c r="CM30" s="49" t="str">
        <f t="shared" si="47"/>
        <v/>
      </c>
      <c r="CN30" s="49" t="str">
        <f t="shared" si="47"/>
        <v/>
      </c>
      <c r="CO30" s="49" t="str">
        <f t="shared" si="47"/>
        <v/>
      </c>
      <c r="CP30" s="49" t="str">
        <f t="shared" si="47"/>
        <v/>
      </c>
      <c r="CQ30" s="49" t="str">
        <f t="shared" si="47"/>
        <v/>
      </c>
      <c r="CR30" s="49" t="str">
        <f t="shared" si="47"/>
        <v/>
      </c>
      <c r="CS30" s="49" t="str">
        <f t="shared" si="47"/>
        <v/>
      </c>
      <c r="CT30" s="49" t="str">
        <f t="shared" si="47"/>
        <v/>
      </c>
      <c r="CU30" s="49" t="str">
        <f t="shared" si="47"/>
        <v/>
      </c>
      <c r="CV30" s="49" t="str">
        <f t="shared" si="47"/>
        <v/>
      </c>
      <c r="CW30" s="49" t="str">
        <f t="shared" si="47"/>
        <v/>
      </c>
      <c r="CX30" s="49" t="str">
        <f t="shared" si="47"/>
        <v/>
      </c>
      <c r="CY30" s="49" t="str">
        <f t="shared" si="47"/>
        <v/>
      </c>
      <c r="CZ30" s="49" t="str">
        <f t="shared" si="47"/>
        <v/>
      </c>
      <c r="DA30" s="49" t="str">
        <f t="shared" si="47"/>
        <v/>
      </c>
      <c r="DB30" s="49" t="str">
        <f t="shared" si="47"/>
        <v/>
      </c>
      <c r="DC30" s="49" t="str">
        <f t="shared" si="47"/>
        <v/>
      </c>
      <c r="DD30" s="49" t="str">
        <f t="shared" si="47"/>
        <v/>
      </c>
      <c r="DE30" s="49" t="str">
        <f t="shared" si="47"/>
        <v/>
      </c>
      <c r="DF30" s="49" t="str">
        <f t="shared" si="47"/>
        <v/>
      </c>
      <c r="DG30" s="49" t="str">
        <f t="shared" si="47"/>
        <v/>
      </c>
      <c r="DH30" s="49" t="str">
        <f t="shared" si="47"/>
        <v/>
      </c>
      <c r="DI30" s="49" t="str">
        <f t="shared" si="47"/>
        <v/>
      </c>
      <c r="DJ30" s="49" t="str">
        <f t="shared" si="47"/>
        <v/>
      </c>
    </row>
    <row r="31" spans="1:114" ht="15.75" customHeight="1" x14ac:dyDescent="0.55000000000000004">
      <c r="A31" s="41" t="e">
        <f>MASANIELLO!#REF!</f>
        <v>#REF!</v>
      </c>
      <c r="B31" s="41" t="e">
        <f t="shared" si="2"/>
        <v>#VALUE!</v>
      </c>
      <c r="C31" s="42" t="e">
        <f t="shared" si="3"/>
        <v>#VALUE!</v>
      </c>
      <c r="D31" s="42" t="e">
        <f t="shared" si="4"/>
        <v>#VALUE!</v>
      </c>
      <c r="E31" s="42" t="e">
        <f t="shared" si="5"/>
        <v>#VALUE!</v>
      </c>
      <c r="F31" s="42" t="e">
        <f t="shared" si="6"/>
        <v>#VALUE!</v>
      </c>
      <c r="G31" s="50" t="e">
        <f t="shared" si="7"/>
        <v>#VALUE!</v>
      </c>
      <c r="H31" s="41" t="e">
        <f t="shared" si="8"/>
        <v>#VALUE!</v>
      </c>
      <c r="I31" s="41" t="e">
        <f t="shared" si="9"/>
        <v>#VALUE!</v>
      </c>
      <c r="J31" s="45" t="e">
        <f t="shared" si="10"/>
        <v>#VALUE!</v>
      </c>
      <c r="M31" s="48" t="b">
        <f t="shared" si="11"/>
        <v>0</v>
      </c>
      <c r="N31" s="49" t="e">
        <f t="shared" ref="N31:DJ31" si="48">IF(N$1&gt;$L$2,   "",   IF(N$1=$L$2,  1,  IF($L$2-N$1=$L$1-$M31, $L$3^($L$1-$M31), ($L$3*N32*O32/(N32+($L$3-1)*O32) ))))</f>
        <v>#DIV/0!</v>
      </c>
      <c r="O31" s="49" t="e">
        <f t="shared" si="48"/>
        <v>#DIV/0!</v>
      </c>
      <c r="P31" s="49" t="e">
        <f t="shared" si="48"/>
        <v>#DIV/0!</v>
      </c>
      <c r="Q31" s="49" t="e">
        <f t="shared" si="48"/>
        <v>#DIV/0!</v>
      </c>
      <c r="R31" s="49">
        <f t="shared" si="48"/>
        <v>1</v>
      </c>
      <c r="S31" s="49" t="str">
        <f t="shared" si="48"/>
        <v/>
      </c>
      <c r="T31" s="49" t="str">
        <f t="shared" si="48"/>
        <v/>
      </c>
      <c r="U31" s="49" t="str">
        <f t="shared" si="48"/>
        <v/>
      </c>
      <c r="V31" s="49" t="str">
        <f t="shared" si="48"/>
        <v/>
      </c>
      <c r="W31" s="49" t="str">
        <f t="shared" si="48"/>
        <v/>
      </c>
      <c r="X31" s="49" t="str">
        <f t="shared" si="48"/>
        <v/>
      </c>
      <c r="Y31" s="49" t="str">
        <f t="shared" si="48"/>
        <v/>
      </c>
      <c r="Z31" s="49" t="str">
        <f t="shared" si="48"/>
        <v/>
      </c>
      <c r="AA31" s="49" t="str">
        <f t="shared" si="48"/>
        <v/>
      </c>
      <c r="AB31" s="49" t="str">
        <f t="shared" si="48"/>
        <v/>
      </c>
      <c r="AC31" s="49" t="str">
        <f t="shared" si="48"/>
        <v/>
      </c>
      <c r="AD31" s="49" t="str">
        <f t="shared" si="48"/>
        <v/>
      </c>
      <c r="AE31" s="49" t="str">
        <f t="shared" si="48"/>
        <v/>
      </c>
      <c r="AF31" s="49" t="str">
        <f t="shared" si="48"/>
        <v/>
      </c>
      <c r="AG31" s="49" t="str">
        <f t="shared" si="48"/>
        <v/>
      </c>
      <c r="AH31" s="49" t="str">
        <f t="shared" si="48"/>
        <v/>
      </c>
      <c r="AI31" s="49" t="str">
        <f t="shared" si="48"/>
        <v/>
      </c>
      <c r="AJ31" s="49" t="str">
        <f t="shared" si="48"/>
        <v/>
      </c>
      <c r="AK31" s="49" t="str">
        <f t="shared" si="48"/>
        <v/>
      </c>
      <c r="AL31" s="49" t="str">
        <f t="shared" si="48"/>
        <v/>
      </c>
      <c r="AM31" s="49" t="str">
        <f t="shared" si="48"/>
        <v/>
      </c>
      <c r="AN31" s="49" t="str">
        <f t="shared" si="48"/>
        <v/>
      </c>
      <c r="AO31" s="49" t="str">
        <f t="shared" si="48"/>
        <v/>
      </c>
      <c r="AP31" s="49" t="str">
        <f t="shared" si="48"/>
        <v/>
      </c>
      <c r="AQ31" s="49" t="str">
        <f t="shared" si="48"/>
        <v/>
      </c>
      <c r="AR31" s="49" t="str">
        <f t="shared" si="48"/>
        <v/>
      </c>
      <c r="AS31" s="49" t="str">
        <f t="shared" si="48"/>
        <v/>
      </c>
      <c r="AT31" s="49" t="str">
        <f t="shared" si="48"/>
        <v/>
      </c>
      <c r="AU31" s="49" t="str">
        <f t="shared" si="48"/>
        <v/>
      </c>
      <c r="AV31" s="49" t="str">
        <f t="shared" si="48"/>
        <v/>
      </c>
      <c r="AW31" s="49" t="str">
        <f t="shared" si="48"/>
        <v/>
      </c>
      <c r="AX31" s="49" t="str">
        <f t="shared" si="48"/>
        <v/>
      </c>
      <c r="AY31" s="49" t="str">
        <f t="shared" si="48"/>
        <v/>
      </c>
      <c r="AZ31" s="49" t="str">
        <f t="shared" si="48"/>
        <v/>
      </c>
      <c r="BA31" s="49" t="str">
        <f t="shared" si="48"/>
        <v/>
      </c>
      <c r="BB31" s="49" t="str">
        <f t="shared" si="48"/>
        <v/>
      </c>
      <c r="BC31" s="49" t="str">
        <f t="shared" si="48"/>
        <v/>
      </c>
      <c r="BD31" s="49" t="str">
        <f t="shared" si="48"/>
        <v/>
      </c>
      <c r="BE31" s="49" t="str">
        <f t="shared" si="48"/>
        <v/>
      </c>
      <c r="BF31" s="49" t="str">
        <f t="shared" si="48"/>
        <v/>
      </c>
      <c r="BG31" s="49" t="str">
        <f t="shared" si="48"/>
        <v/>
      </c>
      <c r="BH31" s="49" t="str">
        <f t="shared" si="48"/>
        <v/>
      </c>
      <c r="BI31" s="49" t="str">
        <f t="shared" si="48"/>
        <v/>
      </c>
      <c r="BJ31" s="49" t="str">
        <f t="shared" si="48"/>
        <v/>
      </c>
      <c r="BK31" s="49" t="str">
        <f t="shared" si="48"/>
        <v/>
      </c>
      <c r="BL31" s="49" t="str">
        <f t="shared" si="48"/>
        <v/>
      </c>
      <c r="BM31" s="49" t="str">
        <f t="shared" si="48"/>
        <v/>
      </c>
      <c r="BN31" s="49" t="str">
        <f t="shared" si="48"/>
        <v/>
      </c>
      <c r="BO31" s="49" t="str">
        <f t="shared" si="48"/>
        <v/>
      </c>
      <c r="BP31" s="49" t="str">
        <f t="shared" si="48"/>
        <v/>
      </c>
      <c r="BQ31" s="49" t="str">
        <f t="shared" si="48"/>
        <v/>
      </c>
      <c r="BR31" s="49" t="str">
        <f t="shared" si="48"/>
        <v/>
      </c>
      <c r="BS31" s="49" t="str">
        <f t="shared" si="48"/>
        <v/>
      </c>
      <c r="BT31" s="49" t="str">
        <f t="shared" si="48"/>
        <v/>
      </c>
      <c r="BU31" s="49" t="str">
        <f t="shared" si="48"/>
        <v/>
      </c>
      <c r="BV31" s="49" t="str">
        <f t="shared" si="48"/>
        <v/>
      </c>
      <c r="BW31" s="49" t="str">
        <f t="shared" si="48"/>
        <v/>
      </c>
      <c r="BX31" s="49" t="str">
        <f t="shared" si="48"/>
        <v/>
      </c>
      <c r="BY31" s="49" t="str">
        <f t="shared" si="48"/>
        <v/>
      </c>
      <c r="BZ31" s="49" t="str">
        <f t="shared" si="48"/>
        <v/>
      </c>
      <c r="CA31" s="49" t="str">
        <f t="shared" si="48"/>
        <v/>
      </c>
      <c r="CB31" s="49" t="str">
        <f t="shared" si="48"/>
        <v/>
      </c>
      <c r="CC31" s="49" t="str">
        <f t="shared" si="48"/>
        <v/>
      </c>
      <c r="CD31" s="49" t="str">
        <f t="shared" si="48"/>
        <v/>
      </c>
      <c r="CE31" s="49" t="str">
        <f t="shared" si="48"/>
        <v/>
      </c>
      <c r="CF31" s="49" t="str">
        <f t="shared" si="48"/>
        <v/>
      </c>
      <c r="CG31" s="49" t="str">
        <f t="shared" si="48"/>
        <v/>
      </c>
      <c r="CH31" s="49" t="str">
        <f t="shared" si="48"/>
        <v/>
      </c>
      <c r="CI31" s="49" t="str">
        <f t="shared" si="48"/>
        <v/>
      </c>
      <c r="CJ31" s="49" t="str">
        <f t="shared" si="48"/>
        <v/>
      </c>
      <c r="CK31" s="49" t="str">
        <f t="shared" si="48"/>
        <v/>
      </c>
      <c r="CL31" s="49" t="str">
        <f t="shared" si="48"/>
        <v/>
      </c>
      <c r="CM31" s="49" t="str">
        <f t="shared" si="48"/>
        <v/>
      </c>
      <c r="CN31" s="49" t="str">
        <f t="shared" si="48"/>
        <v/>
      </c>
      <c r="CO31" s="49" t="str">
        <f t="shared" si="48"/>
        <v/>
      </c>
      <c r="CP31" s="49" t="str">
        <f t="shared" si="48"/>
        <v/>
      </c>
      <c r="CQ31" s="49" t="str">
        <f t="shared" si="48"/>
        <v/>
      </c>
      <c r="CR31" s="49" t="str">
        <f t="shared" si="48"/>
        <v/>
      </c>
      <c r="CS31" s="49" t="str">
        <f t="shared" si="48"/>
        <v/>
      </c>
      <c r="CT31" s="49" t="str">
        <f t="shared" si="48"/>
        <v/>
      </c>
      <c r="CU31" s="49" t="str">
        <f t="shared" si="48"/>
        <v/>
      </c>
      <c r="CV31" s="49" t="str">
        <f t="shared" si="48"/>
        <v/>
      </c>
      <c r="CW31" s="49" t="str">
        <f t="shared" si="48"/>
        <v/>
      </c>
      <c r="CX31" s="49" t="str">
        <f t="shared" si="48"/>
        <v/>
      </c>
      <c r="CY31" s="49" t="str">
        <f t="shared" si="48"/>
        <v/>
      </c>
      <c r="CZ31" s="49" t="str">
        <f t="shared" si="48"/>
        <v/>
      </c>
      <c r="DA31" s="49" t="str">
        <f t="shared" si="48"/>
        <v/>
      </c>
      <c r="DB31" s="49" t="str">
        <f t="shared" si="48"/>
        <v/>
      </c>
      <c r="DC31" s="49" t="str">
        <f t="shared" si="48"/>
        <v/>
      </c>
      <c r="DD31" s="49" t="str">
        <f t="shared" si="48"/>
        <v/>
      </c>
      <c r="DE31" s="49" t="str">
        <f t="shared" si="48"/>
        <v/>
      </c>
      <c r="DF31" s="49" t="str">
        <f t="shared" si="48"/>
        <v/>
      </c>
      <c r="DG31" s="49" t="str">
        <f t="shared" si="48"/>
        <v/>
      </c>
      <c r="DH31" s="49" t="str">
        <f t="shared" si="48"/>
        <v/>
      </c>
      <c r="DI31" s="49" t="str">
        <f t="shared" si="48"/>
        <v/>
      </c>
      <c r="DJ31" s="49" t="str">
        <f t="shared" si="48"/>
        <v/>
      </c>
    </row>
    <row r="32" spans="1:114" ht="15.75" customHeight="1" x14ac:dyDescent="0.55000000000000004">
      <c r="A32" s="41" t="e">
        <f>MASANIELLO!#REF!</f>
        <v>#REF!</v>
      </c>
      <c r="B32" s="41" t="e">
        <f t="shared" si="2"/>
        <v>#VALUE!</v>
      </c>
      <c r="C32" s="42" t="e">
        <f t="shared" si="3"/>
        <v>#VALUE!</v>
      </c>
      <c r="D32" s="42" t="e">
        <f t="shared" si="4"/>
        <v>#VALUE!</v>
      </c>
      <c r="E32" s="42" t="e">
        <f t="shared" si="5"/>
        <v>#VALUE!</v>
      </c>
      <c r="F32" s="42" t="e">
        <f t="shared" si="6"/>
        <v>#VALUE!</v>
      </c>
      <c r="G32" s="50" t="e">
        <f t="shared" si="7"/>
        <v>#VALUE!</v>
      </c>
      <c r="H32" s="41" t="e">
        <f t="shared" si="8"/>
        <v>#VALUE!</v>
      </c>
      <c r="I32" s="41" t="e">
        <f t="shared" si="9"/>
        <v>#VALUE!</v>
      </c>
      <c r="J32" s="45" t="e">
        <f t="shared" si="10"/>
        <v>#VALUE!</v>
      </c>
      <c r="M32" s="48" t="b">
        <f t="shared" si="11"/>
        <v>0</v>
      </c>
      <c r="N32" s="49" t="e">
        <f t="shared" ref="N32:DJ32" si="49">IF(N$1&gt;$L$2,   "",   IF(N$1=$L$2,  1,  IF($L$2-N$1=$L$1-$M32, $L$3^($L$1-$M32), ($L$3*N33*O33/(N33+($L$3-1)*O33) ))))</f>
        <v>#DIV/0!</v>
      </c>
      <c r="O32" s="49" t="e">
        <f t="shared" si="49"/>
        <v>#DIV/0!</v>
      </c>
      <c r="P32" s="49" t="e">
        <f t="shared" si="49"/>
        <v>#DIV/0!</v>
      </c>
      <c r="Q32" s="49" t="e">
        <f t="shared" si="49"/>
        <v>#DIV/0!</v>
      </c>
      <c r="R32" s="49">
        <f t="shared" si="49"/>
        <v>1</v>
      </c>
      <c r="S32" s="49" t="str">
        <f t="shared" si="49"/>
        <v/>
      </c>
      <c r="T32" s="49" t="str">
        <f t="shared" si="49"/>
        <v/>
      </c>
      <c r="U32" s="49" t="str">
        <f t="shared" si="49"/>
        <v/>
      </c>
      <c r="V32" s="49" t="str">
        <f t="shared" si="49"/>
        <v/>
      </c>
      <c r="W32" s="49" t="str">
        <f t="shared" si="49"/>
        <v/>
      </c>
      <c r="X32" s="49" t="str">
        <f t="shared" si="49"/>
        <v/>
      </c>
      <c r="Y32" s="49" t="str">
        <f t="shared" si="49"/>
        <v/>
      </c>
      <c r="Z32" s="49" t="str">
        <f t="shared" si="49"/>
        <v/>
      </c>
      <c r="AA32" s="49" t="str">
        <f t="shared" si="49"/>
        <v/>
      </c>
      <c r="AB32" s="49" t="str">
        <f t="shared" si="49"/>
        <v/>
      </c>
      <c r="AC32" s="49" t="str">
        <f t="shared" si="49"/>
        <v/>
      </c>
      <c r="AD32" s="49" t="str">
        <f t="shared" si="49"/>
        <v/>
      </c>
      <c r="AE32" s="49" t="str">
        <f t="shared" si="49"/>
        <v/>
      </c>
      <c r="AF32" s="49" t="str">
        <f t="shared" si="49"/>
        <v/>
      </c>
      <c r="AG32" s="49" t="str">
        <f t="shared" si="49"/>
        <v/>
      </c>
      <c r="AH32" s="49" t="str">
        <f t="shared" si="49"/>
        <v/>
      </c>
      <c r="AI32" s="49" t="str">
        <f t="shared" si="49"/>
        <v/>
      </c>
      <c r="AJ32" s="49" t="str">
        <f t="shared" si="49"/>
        <v/>
      </c>
      <c r="AK32" s="49" t="str">
        <f t="shared" si="49"/>
        <v/>
      </c>
      <c r="AL32" s="49" t="str">
        <f t="shared" si="49"/>
        <v/>
      </c>
      <c r="AM32" s="49" t="str">
        <f t="shared" si="49"/>
        <v/>
      </c>
      <c r="AN32" s="49" t="str">
        <f t="shared" si="49"/>
        <v/>
      </c>
      <c r="AO32" s="49" t="str">
        <f t="shared" si="49"/>
        <v/>
      </c>
      <c r="AP32" s="49" t="str">
        <f t="shared" si="49"/>
        <v/>
      </c>
      <c r="AQ32" s="49" t="str">
        <f t="shared" si="49"/>
        <v/>
      </c>
      <c r="AR32" s="49" t="str">
        <f t="shared" si="49"/>
        <v/>
      </c>
      <c r="AS32" s="49" t="str">
        <f t="shared" si="49"/>
        <v/>
      </c>
      <c r="AT32" s="49" t="str">
        <f t="shared" si="49"/>
        <v/>
      </c>
      <c r="AU32" s="49" t="str">
        <f t="shared" si="49"/>
        <v/>
      </c>
      <c r="AV32" s="49" t="str">
        <f t="shared" si="49"/>
        <v/>
      </c>
      <c r="AW32" s="49" t="str">
        <f t="shared" si="49"/>
        <v/>
      </c>
      <c r="AX32" s="49" t="str">
        <f t="shared" si="49"/>
        <v/>
      </c>
      <c r="AY32" s="49" t="str">
        <f t="shared" si="49"/>
        <v/>
      </c>
      <c r="AZ32" s="49" t="str">
        <f t="shared" si="49"/>
        <v/>
      </c>
      <c r="BA32" s="49" t="str">
        <f t="shared" si="49"/>
        <v/>
      </c>
      <c r="BB32" s="49" t="str">
        <f t="shared" si="49"/>
        <v/>
      </c>
      <c r="BC32" s="49" t="str">
        <f t="shared" si="49"/>
        <v/>
      </c>
      <c r="BD32" s="49" t="str">
        <f t="shared" si="49"/>
        <v/>
      </c>
      <c r="BE32" s="49" t="str">
        <f t="shared" si="49"/>
        <v/>
      </c>
      <c r="BF32" s="49" t="str">
        <f t="shared" si="49"/>
        <v/>
      </c>
      <c r="BG32" s="49" t="str">
        <f t="shared" si="49"/>
        <v/>
      </c>
      <c r="BH32" s="49" t="str">
        <f t="shared" si="49"/>
        <v/>
      </c>
      <c r="BI32" s="49" t="str">
        <f t="shared" si="49"/>
        <v/>
      </c>
      <c r="BJ32" s="49" t="str">
        <f t="shared" si="49"/>
        <v/>
      </c>
      <c r="BK32" s="49" t="str">
        <f t="shared" si="49"/>
        <v/>
      </c>
      <c r="BL32" s="49" t="str">
        <f t="shared" si="49"/>
        <v/>
      </c>
      <c r="BM32" s="49" t="str">
        <f t="shared" si="49"/>
        <v/>
      </c>
      <c r="BN32" s="49" t="str">
        <f t="shared" si="49"/>
        <v/>
      </c>
      <c r="BO32" s="49" t="str">
        <f t="shared" si="49"/>
        <v/>
      </c>
      <c r="BP32" s="49" t="str">
        <f t="shared" si="49"/>
        <v/>
      </c>
      <c r="BQ32" s="49" t="str">
        <f t="shared" si="49"/>
        <v/>
      </c>
      <c r="BR32" s="49" t="str">
        <f t="shared" si="49"/>
        <v/>
      </c>
      <c r="BS32" s="49" t="str">
        <f t="shared" si="49"/>
        <v/>
      </c>
      <c r="BT32" s="49" t="str">
        <f t="shared" si="49"/>
        <v/>
      </c>
      <c r="BU32" s="49" t="str">
        <f t="shared" si="49"/>
        <v/>
      </c>
      <c r="BV32" s="49" t="str">
        <f t="shared" si="49"/>
        <v/>
      </c>
      <c r="BW32" s="49" t="str">
        <f t="shared" si="49"/>
        <v/>
      </c>
      <c r="BX32" s="49" t="str">
        <f t="shared" si="49"/>
        <v/>
      </c>
      <c r="BY32" s="49" t="str">
        <f t="shared" si="49"/>
        <v/>
      </c>
      <c r="BZ32" s="49" t="str">
        <f t="shared" si="49"/>
        <v/>
      </c>
      <c r="CA32" s="49" t="str">
        <f t="shared" si="49"/>
        <v/>
      </c>
      <c r="CB32" s="49" t="str">
        <f t="shared" si="49"/>
        <v/>
      </c>
      <c r="CC32" s="49" t="str">
        <f t="shared" si="49"/>
        <v/>
      </c>
      <c r="CD32" s="49" t="str">
        <f t="shared" si="49"/>
        <v/>
      </c>
      <c r="CE32" s="49" t="str">
        <f t="shared" si="49"/>
        <v/>
      </c>
      <c r="CF32" s="49" t="str">
        <f t="shared" si="49"/>
        <v/>
      </c>
      <c r="CG32" s="49" t="str">
        <f t="shared" si="49"/>
        <v/>
      </c>
      <c r="CH32" s="49" t="str">
        <f t="shared" si="49"/>
        <v/>
      </c>
      <c r="CI32" s="49" t="str">
        <f t="shared" si="49"/>
        <v/>
      </c>
      <c r="CJ32" s="49" t="str">
        <f t="shared" si="49"/>
        <v/>
      </c>
      <c r="CK32" s="49" t="str">
        <f t="shared" si="49"/>
        <v/>
      </c>
      <c r="CL32" s="49" t="str">
        <f t="shared" si="49"/>
        <v/>
      </c>
      <c r="CM32" s="49" t="str">
        <f t="shared" si="49"/>
        <v/>
      </c>
      <c r="CN32" s="49" t="str">
        <f t="shared" si="49"/>
        <v/>
      </c>
      <c r="CO32" s="49" t="str">
        <f t="shared" si="49"/>
        <v/>
      </c>
      <c r="CP32" s="49" t="str">
        <f t="shared" si="49"/>
        <v/>
      </c>
      <c r="CQ32" s="49" t="str">
        <f t="shared" si="49"/>
        <v/>
      </c>
      <c r="CR32" s="49" t="str">
        <f t="shared" si="49"/>
        <v/>
      </c>
      <c r="CS32" s="49" t="str">
        <f t="shared" si="49"/>
        <v/>
      </c>
      <c r="CT32" s="49" t="str">
        <f t="shared" si="49"/>
        <v/>
      </c>
      <c r="CU32" s="49" t="str">
        <f t="shared" si="49"/>
        <v/>
      </c>
      <c r="CV32" s="49" t="str">
        <f t="shared" si="49"/>
        <v/>
      </c>
      <c r="CW32" s="49" t="str">
        <f t="shared" si="49"/>
        <v/>
      </c>
      <c r="CX32" s="49" t="str">
        <f t="shared" si="49"/>
        <v/>
      </c>
      <c r="CY32" s="49" t="str">
        <f t="shared" si="49"/>
        <v/>
      </c>
      <c r="CZ32" s="49" t="str">
        <f t="shared" si="49"/>
        <v/>
      </c>
      <c r="DA32" s="49" t="str">
        <f t="shared" si="49"/>
        <v/>
      </c>
      <c r="DB32" s="49" t="str">
        <f t="shared" si="49"/>
        <v/>
      </c>
      <c r="DC32" s="49" t="str">
        <f t="shared" si="49"/>
        <v/>
      </c>
      <c r="DD32" s="49" t="str">
        <f t="shared" si="49"/>
        <v/>
      </c>
      <c r="DE32" s="49" t="str">
        <f t="shared" si="49"/>
        <v/>
      </c>
      <c r="DF32" s="49" t="str">
        <f t="shared" si="49"/>
        <v/>
      </c>
      <c r="DG32" s="49" t="str">
        <f t="shared" si="49"/>
        <v/>
      </c>
      <c r="DH32" s="49" t="str">
        <f t="shared" si="49"/>
        <v/>
      </c>
      <c r="DI32" s="49" t="str">
        <f t="shared" si="49"/>
        <v/>
      </c>
      <c r="DJ32" s="49" t="str">
        <f t="shared" si="49"/>
        <v/>
      </c>
    </row>
    <row r="33" spans="1:114" ht="15.75" customHeight="1" x14ac:dyDescent="0.55000000000000004">
      <c r="A33" s="41" t="e">
        <f>MASANIELLO!#REF!</f>
        <v>#REF!</v>
      </c>
      <c r="B33" s="41" t="e">
        <f t="shared" si="2"/>
        <v>#VALUE!</v>
      </c>
      <c r="C33" s="42" t="e">
        <f t="shared" si="3"/>
        <v>#VALUE!</v>
      </c>
      <c r="D33" s="42" t="e">
        <f t="shared" si="4"/>
        <v>#VALUE!</v>
      </c>
      <c r="E33" s="42" t="e">
        <f t="shared" si="5"/>
        <v>#VALUE!</v>
      </c>
      <c r="F33" s="42" t="e">
        <f t="shared" si="6"/>
        <v>#VALUE!</v>
      </c>
      <c r="G33" s="50" t="e">
        <f t="shared" si="7"/>
        <v>#VALUE!</v>
      </c>
      <c r="H33" s="41" t="e">
        <f t="shared" si="8"/>
        <v>#VALUE!</v>
      </c>
      <c r="I33" s="41" t="e">
        <f t="shared" si="9"/>
        <v>#VALUE!</v>
      </c>
      <c r="J33" s="45" t="e">
        <f t="shared" si="10"/>
        <v>#VALUE!</v>
      </c>
      <c r="M33" s="48" t="b">
        <f t="shared" si="11"/>
        <v>0</v>
      </c>
      <c r="N33" s="49" t="e">
        <f t="shared" ref="N33:DJ33" si="50">IF(N$1&gt;$L$2,   "",   IF(N$1=$L$2,  1,  IF($L$2-N$1=$L$1-$M33, $L$3^($L$1-$M33), ($L$3*N34*O34/(N34+($L$3-1)*O34) ))))</f>
        <v>#DIV/0!</v>
      </c>
      <c r="O33" s="49" t="e">
        <f t="shared" si="50"/>
        <v>#DIV/0!</v>
      </c>
      <c r="P33" s="49" t="e">
        <f t="shared" si="50"/>
        <v>#DIV/0!</v>
      </c>
      <c r="Q33" s="49" t="e">
        <f t="shared" si="50"/>
        <v>#DIV/0!</v>
      </c>
      <c r="R33" s="49">
        <f t="shared" si="50"/>
        <v>1</v>
      </c>
      <c r="S33" s="49" t="str">
        <f t="shared" si="50"/>
        <v/>
      </c>
      <c r="T33" s="49" t="str">
        <f t="shared" si="50"/>
        <v/>
      </c>
      <c r="U33" s="49" t="str">
        <f t="shared" si="50"/>
        <v/>
      </c>
      <c r="V33" s="49" t="str">
        <f t="shared" si="50"/>
        <v/>
      </c>
      <c r="W33" s="49" t="str">
        <f t="shared" si="50"/>
        <v/>
      </c>
      <c r="X33" s="49" t="str">
        <f t="shared" si="50"/>
        <v/>
      </c>
      <c r="Y33" s="49" t="str">
        <f t="shared" si="50"/>
        <v/>
      </c>
      <c r="Z33" s="49" t="str">
        <f t="shared" si="50"/>
        <v/>
      </c>
      <c r="AA33" s="49" t="str">
        <f t="shared" si="50"/>
        <v/>
      </c>
      <c r="AB33" s="49" t="str">
        <f t="shared" si="50"/>
        <v/>
      </c>
      <c r="AC33" s="49" t="str">
        <f t="shared" si="50"/>
        <v/>
      </c>
      <c r="AD33" s="49" t="str">
        <f t="shared" si="50"/>
        <v/>
      </c>
      <c r="AE33" s="49" t="str">
        <f t="shared" si="50"/>
        <v/>
      </c>
      <c r="AF33" s="49" t="str">
        <f t="shared" si="50"/>
        <v/>
      </c>
      <c r="AG33" s="49" t="str">
        <f t="shared" si="50"/>
        <v/>
      </c>
      <c r="AH33" s="49" t="str">
        <f t="shared" si="50"/>
        <v/>
      </c>
      <c r="AI33" s="49" t="str">
        <f t="shared" si="50"/>
        <v/>
      </c>
      <c r="AJ33" s="49" t="str">
        <f t="shared" si="50"/>
        <v/>
      </c>
      <c r="AK33" s="49" t="str">
        <f t="shared" si="50"/>
        <v/>
      </c>
      <c r="AL33" s="49" t="str">
        <f t="shared" si="50"/>
        <v/>
      </c>
      <c r="AM33" s="49" t="str">
        <f t="shared" si="50"/>
        <v/>
      </c>
      <c r="AN33" s="49" t="str">
        <f t="shared" si="50"/>
        <v/>
      </c>
      <c r="AO33" s="49" t="str">
        <f t="shared" si="50"/>
        <v/>
      </c>
      <c r="AP33" s="49" t="str">
        <f t="shared" si="50"/>
        <v/>
      </c>
      <c r="AQ33" s="49" t="str">
        <f t="shared" si="50"/>
        <v/>
      </c>
      <c r="AR33" s="49" t="str">
        <f t="shared" si="50"/>
        <v/>
      </c>
      <c r="AS33" s="49" t="str">
        <f t="shared" si="50"/>
        <v/>
      </c>
      <c r="AT33" s="49" t="str">
        <f t="shared" si="50"/>
        <v/>
      </c>
      <c r="AU33" s="49" t="str">
        <f t="shared" si="50"/>
        <v/>
      </c>
      <c r="AV33" s="49" t="str">
        <f t="shared" si="50"/>
        <v/>
      </c>
      <c r="AW33" s="49" t="str">
        <f t="shared" si="50"/>
        <v/>
      </c>
      <c r="AX33" s="49" t="str">
        <f t="shared" si="50"/>
        <v/>
      </c>
      <c r="AY33" s="49" t="str">
        <f t="shared" si="50"/>
        <v/>
      </c>
      <c r="AZ33" s="49" t="str">
        <f t="shared" si="50"/>
        <v/>
      </c>
      <c r="BA33" s="49" t="str">
        <f t="shared" si="50"/>
        <v/>
      </c>
      <c r="BB33" s="49" t="str">
        <f t="shared" si="50"/>
        <v/>
      </c>
      <c r="BC33" s="49" t="str">
        <f t="shared" si="50"/>
        <v/>
      </c>
      <c r="BD33" s="49" t="str">
        <f t="shared" si="50"/>
        <v/>
      </c>
      <c r="BE33" s="49" t="str">
        <f t="shared" si="50"/>
        <v/>
      </c>
      <c r="BF33" s="49" t="str">
        <f t="shared" si="50"/>
        <v/>
      </c>
      <c r="BG33" s="49" t="str">
        <f t="shared" si="50"/>
        <v/>
      </c>
      <c r="BH33" s="49" t="str">
        <f t="shared" si="50"/>
        <v/>
      </c>
      <c r="BI33" s="49" t="str">
        <f t="shared" si="50"/>
        <v/>
      </c>
      <c r="BJ33" s="49" t="str">
        <f t="shared" si="50"/>
        <v/>
      </c>
      <c r="BK33" s="49" t="str">
        <f t="shared" si="50"/>
        <v/>
      </c>
      <c r="BL33" s="49" t="str">
        <f t="shared" si="50"/>
        <v/>
      </c>
      <c r="BM33" s="49" t="str">
        <f t="shared" si="50"/>
        <v/>
      </c>
      <c r="BN33" s="49" t="str">
        <f t="shared" si="50"/>
        <v/>
      </c>
      <c r="BO33" s="49" t="str">
        <f t="shared" si="50"/>
        <v/>
      </c>
      <c r="BP33" s="49" t="str">
        <f t="shared" si="50"/>
        <v/>
      </c>
      <c r="BQ33" s="49" t="str">
        <f t="shared" si="50"/>
        <v/>
      </c>
      <c r="BR33" s="49" t="str">
        <f t="shared" si="50"/>
        <v/>
      </c>
      <c r="BS33" s="49" t="str">
        <f t="shared" si="50"/>
        <v/>
      </c>
      <c r="BT33" s="49" t="str">
        <f t="shared" si="50"/>
        <v/>
      </c>
      <c r="BU33" s="49" t="str">
        <f t="shared" si="50"/>
        <v/>
      </c>
      <c r="BV33" s="49" t="str">
        <f t="shared" si="50"/>
        <v/>
      </c>
      <c r="BW33" s="49" t="str">
        <f t="shared" si="50"/>
        <v/>
      </c>
      <c r="BX33" s="49" t="str">
        <f t="shared" si="50"/>
        <v/>
      </c>
      <c r="BY33" s="49" t="str">
        <f t="shared" si="50"/>
        <v/>
      </c>
      <c r="BZ33" s="49" t="str">
        <f t="shared" si="50"/>
        <v/>
      </c>
      <c r="CA33" s="49" t="str">
        <f t="shared" si="50"/>
        <v/>
      </c>
      <c r="CB33" s="49" t="str">
        <f t="shared" si="50"/>
        <v/>
      </c>
      <c r="CC33" s="49" t="str">
        <f t="shared" si="50"/>
        <v/>
      </c>
      <c r="CD33" s="49" t="str">
        <f t="shared" si="50"/>
        <v/>
      </c>
      <c r="CE33" s="49" t="str">
        <f t="shared" si="50"/>
        <v/>
      </c>
      <c r="CF33" s="49" t="str">
        <f t="shared" si="50"/>
        <v/>
      </c>
      <c r="CG33" s="49" t="str">
        <f t="shared" si="50"/>
        <v/>
      </c>
      <c r="CH33" s="49" t="str">
        <f t="shared" si="50"/>
        <v/>
      </c>
      <c r="CI33" s="49" t="str">
        <f t="shared" si="50"/>
        <v/>
      </c>
      <c r="CJ33" s="49" t="str">
        <f t="shared" si="50"/>
        <v/>
      </c>
      <c r="CK33" s="49" t="str">
        <f t="shared" si="50"/>
        <v/>
      </c>
      <c r="CL33" s="49" t="str">
        <f t="shared" si="50"/>
        <v/>
      </c>
      <c r="CM33" s="49" t="str">
        <f t="shared" si="50"/>
        <v/>
      </c>
      <c r="CN33" s="49" t="str">
        <f t="shared" si="50"/>
        <v/>
      </c>
      <c r="CO33" s="49" t="str">
        <f t="shared" si="50"/>
        <v/>
      </c>
      <c r="CP33" s="49" t="str">
        <f t="shared" si="50"/>
        <v/>
      </c>
      <c r="CQ33" s="49" t="str">
        <f t="shared" si="50"/>
        <v/>
      </c>
      <c r="CR33" s="49" t="str">
        <f t="shared" si="50"/>
        <v/>
      </c>
      <c r="CS33" s="49" t="str">
        <f t="shared" si="50"/>
        <v/>
      </c>
      <c r="CT33" s="49" t="str">
        <f t="shared" si="50"/>
        <v/>
      </c>
      <c r="CU33" s="49" t="str">
        <f t="shared" si="50"/>
        <v/>
      </c>
      <c r="CV33" s="49" t="str">
        <f t="shared" si="50"/>
        <v/>
      </c>
      <c r="CW33" s="49" t="str">
        <f t="shared" si="50"/>
        <v/>
      </c>
      <c r="CX33" s="49" t="str">
        <f t="shared" si="50"/>
        <v/>
      </c>
      <c r="CY33" s="49" t="str">
        <f t="shared" si="50"/>
        <v/>
      </c>
      <c r="CZ33" s="49" t="str">
        <f t="shared" si="50"/>
        <v/>
      </c>
      <c r="DA33" s="49" t="str">
        <f t="shared" si="50"/>
        <v/>
      </c>
      <c r="DB33" s="49" t="str">
        <f t="shared" si="50"/>
        <v/>
      </c>
      <c r="DC33" s="49" t="str">
        <f t="shared" si="50"/>
        <v/>
      </c>
      <c r="DD33" s="49" t="str">
        <f t="shared" si="50"/>
        <v/>
      </c>
      <c r="DE33" s="49" t="str">
        <f t="shared" si="50"/>
        <v/>
      </c>
      <c r="DF33" s="49" t="str">
        <f t="shared" si="50"/>
        <v/>
      </c>
      <c r="DG33" s="49" t="str">
        <f t="shared" si="50"/>
        <v/>
      </c>
      <c r="DH33" s="49" t="str">
        <f t="shared" si="50"/>
        <v/>
      </c>
      <c r="DI33" s="49" t="str">
        <f t="shared" si="50"/>
        <v/>
      </c>
      <c r="DJ33" s="49" t="str">
        <f t="shared" si="50"/>
        <v/>
      </c>
    </row>
    <row r="34" spans="1:114" ht="15.75" customHeight="1" x14ac:dyDescent="0.55000000000000004">
      <c r="A34" s="41" t="e">
        <f>MASANIELLO!#REF!</f>
        <v>#REF!</v>
      </c>
      <c r="B34" s="41" t="e">
        <f t="shared" si="2"/>
        <v>#VALUE!</v>
      </c>
      <c r="C34" s="42" t="e">
        <f t="shared" si="3"/>
        <v>#VALUE!</v>
      </c>
      <c r="D34" s="42" t="e">
        <f t="shared" si="4"/>
        <v>#VALUE!</v>
      </c>
      <c r="E34" s="42" t="e">
        <f t="shared" si="5"/>
        <v>#VALUE!</v>
      </c>
      <c r="F34" s="42" t="e">
        <f t="shared" si="6"/>
        <v>#VALUE!</v>
      </c>
      <c r="G34" s="50" t="e">
        <f t="shared" si="7"/>
        <v>#VALUE!</v>
      </c>
      <c r="H34" s="41" t="e">
        <f t="shared" si="8"/>
        <v>#VALUE!</v>
      </c>
      <c r="I34" s="41" t="e">
        <f t="shared" si="9"/>
        <v>#VALUE!</v>
      </c>
      <c r="J34" s="45" t="e">
        <f t="shared" si="10"/>
        <v>#VALUE!</v>
      </c>
      <c r="M34" s="48" t="b">
        <f t="shared" si="11"/>
        <v>0</v>
      </c>
      <c r="N34" s="49" t="e">
        <f t="shared" ref="N34:DJ34" si="51">IF(N$1&gt;$L$2,   "",   IF(N$1=$L$2,  1,  IF($L$2-N$1=$L$1-$M34, $L$3^($L$1-$M34), ($L$3*N35*O35/(N35+($L$3-1)*O35) ))))</f>
        <v>#DIV/0!</v>
      </c>
      <c r="O34" s="49" t="e">
        <f t="shared" si="51"/>
        <v>#DIV/0!</v>
      </c>
      <c r="P34" s="49" t="e">
        <f t="shared" si="51"/>
        <v>#DIV/0!</v>
      </c>
      <c r="Q34" s="49" t="e">
        <f t="shared" si="51"/>
        <v>#DIV/0!</v>
      </c>
      <c r="R34" s="49">
        <f t="shared" si="51"/>
        <v>1</v>
      </c>
      <c r="S34" s="49" t="str">
        <f t="shared" si="51"/>
        <v/>
      </c>
      <c r="T34" s="49" t="str">
        <f t="shared" si="51"/>
        <v/>
      </c>
      <c r="U34" s="49" t="str">
        <f t="shared" si="51"/>
        <v/>
      </c>
      <c r="V34" s="49" t="str">
        <f t="shared" si="51"/>
        <v/>
      </c>
      <c r="W34" s="49" t="str">
        <f t="shared" si="51"/>
        <v/>
      </c>
      <c r="X34" s="49" t="str">
        <f t="shared" si="51"/>
        <v/>
      </c>
      <c r="Y34" s="49" t="str">
        <f t="shared" si="51"/>
        <v/>
      </c>
      <c r="Z34" s="49" t="str">
        <f t="shared" si="51"/>
        <v/>
      </c>
      <c r="AA34" s="49" t="str">
        <f t="shared" si="51"/>
        <v/>
      </c>
      <c r="AB34" s="49" t="str">
        <f t="shared" si="51"/>
        <v/>
      </c>
      <c r="AC34" s="49" t="str">
        <f t="shared" si="51"/>
        <v/>
      </c>
      <c r="AD34" s="49" t="str">
        <f t="shared" si="51"/>
        <v/>
      </c>
      <c r="AE34" s="49" t="str">
        <f t="shared" si="51"/>
        <v/>
      </c>
      <c r="AF34" s="49" t="str">
        <f t="shared" si="51"/>
        <v/>
      </c>
      <c r="AG34" s="49" t="str">
        <f t="shared" si="51"/>
        <v/>
      </c>
      <c r="AH34" s="49" t="str">
        <f t="shared" si="51"/>
        <v/>
      </c>
      <c r="AI34" s="49" t="str">
        <f t="shared" si="51"/>
        <v/>
      </c>
      <c r="AJ34" s="49" t="str">
        <f t="shared" si="51"/>
        <v/>
      </c>
      <c r="AK34" s="49" t="str">
        <f t="shared" si="51"/>
        <v/>
      </c>
      <c r="AL34" s="49" t="str">
        <f t="shared" si="51"/>
        <v/>
      </c>
      <c r="AM34" s="49" t="str">
        <f t="shared" si="51"/>
        <v/>
      </c>
      <c r="AN34" s="49" t="str">
        <f t="shared" si="51"/>
        <v/>
      </c>
      <c r="AO34" s="49" t="str">
        <f t="shared" si="51"/>
        <v/>
      </c>
      <c r="AP34" s="49" t="str">
        <f t="shared" si="51"/>
        <v/>
      </c>
      <c r="AQ34" s="49" t="str">
        <f t="shared" si="51"/>
        <v/>
      </c>
      <c r="AR34" s="49" t="str">
        <f t="shared" si="51"/>
        <v/>
      </c>
      <c r="AS34" s="49" t="str">
        <f t="shared" si="51"/>
        <v/>
      </c>
      <c r="AT34" s="49" t="str">
        <f t="shared" si="51"/>
        <v/>
      </c>
      <c r="AU34" s="49" t="str">
        <f t="shared" si="51"/>
        <v/>
      </c>
      <c r="AV34" s="49" t="str">
        <f t="shared" si="51"/>
        <v/>
      </c>
      <c r="AW34" s="49" t="str">
        <f t="shared" si="51"/>
        <v/>
      </c>
      <c r="AX34" s="49" t="str">
        <f t="shared" si="51"/>
        <v/>
      </c>
      <c r="AY34" s="49" t="str">
        <f t="shared" si="51"/>
        <v/>
      </c>
      <c r="AZ34" s="49" t="str">
        <f t="shared" si="51"/>
        <v/>
      </c>
      <c r="BA34" s="49" t="str">
        <f t="shared" si="51"/>
        <v/>
      </c>
      <c r="BB34" s="49" t="str">
        <f t="shared" si="51"/>
        <v/>
      </c>
      <c r="BC34" s="49" t="str">
        <f t="shared" si="51"/>
        <v/>
      </c>
      <c r="BD34" s="49" t="str">
        <f t="shared" si="51"/>
        <v/>
      </c>
      <c r="BE34" s="49" t="str">
        <f t="shared" si="51"/>
        <v/>
      </c>
      <c r="BF34" s="49" t="str">
        <f t="shared" si="51"/>
        <v/>
      </c>
      <c r="BG34" s="49" t="str">
        <f t="shared" si="51"/>
        <v/>
      </c>
      <c r="BH34" s="49" t="str">
        <f t="shared" si="51"/>
        <v/>
      </c>
      <c r="BI34" s="49" t="str">
        <f t="shared" si="51"/>
        <v/>
      </c>
      <c r="BJ34" s="49" t="str">
        <f t="shared" si="51"/>
        <v/>
      </c>
      <c r="BK34" s="49" t="str">
        <f t="shared" si="51"/>
        <v/>
      </c>
      <c r="BL34" s="49" t="str">
        <f t="shared" si="51"/>
        <v/>
      </c>
      <c r="BM34" s="49" t="str">
        <f t="shared" si="51"/>
        <v/>
      </c>
      <c r="BN34" s="49" t="str">
        <f t="shared" si="51"/>
        <v/>
      </c>
      <c r="BO34" s="49" t="str">
        <f t="shared" si="51"/>
        <v/>
      </c>
      <c r="BP34" s="49" t="str">
        <f t="shared" si="51"/>
        <v/>
      </c>
      <c r="BQ34" s="49" t="str">
        <f t="shared" si="51"/>
        <v/>
      </c>
      <c r="BR34" s="49" t="str">
        <f t="shared" si="51"/>
        <v/>
      </c>
      <c r="BS34" s="49" t="str">
        <f t="shared" si="51"/>
        <v/>
      </c>
      <c r="BT34" s="49" t="str">
        <f t="shared" si="51"/>
        <v/>
      </c>
      <c r="BU34" s="49" t="str">
        <f t="shared" si="51"/>
        <v/>
      </c>
      <c r="BV34" s="49" t="str">
        <f t="shared" si="51"/>
        <v/>
      </c>
      <c r="BW34" s="49" t="str">
        <f t="shared" si="51"/>
        <v/>
      </c>
      <c r="BX34" s="49" t="str">
        <f t="shared" si="51"/>
        <v/>
      </c>
      <c r="BY34" s="49" t="str">
        <f t="shared" si="51"/>
        <v/>
      </c>
      <c r="BZ34" s="49" t="str">
        <f t="shared" si="51"/>
        <v/>
      </c>
      <c r="CA34" s="49" t="str">
        <f t="shared" si="51"/>
        <v/>
      </c>
      <c r="CB34" s="49" t="str">
        <f t="shared" si="51"/>
        <v/>
      </c>
      <c r="CC34" s="49" t="str">
        <f t="shared" si="51"/>
        <v/>
      </c>
      <c r="CD34" s="49" t="str">
        <f t="shared" si="51"/>
        <v/>
      </c>
      <c r="CE34" s="49" t="str">
        <f t="shared" si="51"/>
        <v/>
      </c>
      <c r="CF34" s="49" t="str">
        <f t="shared" si="51"/>
        <v/>
      </c>
      <c r="CG34" s="49" t="str">
        <f t="shared" si="51"/>
        <v/>
      </c>
      <c r="CH34" s="49" t="str">
        <f t="shared" si="51"/>
        <v/>
      </c>
      <c r="CI34" s="49" t="str">
        <f t="shared" si="51"/>
        <v/>
      </c>
      <c r="CJ34" s="49" t="str">
        <f t="shared" si="51"/>
        <v/>
      </c>
      <c r="CK34" s="49" t="str">
        <f t="shared" si="51"/>
        <v/>
      </c>
      <c r="CL34" s="49" t="str">
        <f t="shared" si="51"/>
        <v/>
      </c>
      <c r="CM34" s="49" t="str">
        <f t="shared" si="51"/>
        <v/>
      </c>
      <c r="CN34" s="49" t="str">
        <f t="shared" si="51"/>
        <v/>
      </c>
      <c r="CO34" s="49" t="str">
        <f t="shared" si="51"/>
        <v/>
      </c>
      <c r="CP34" s="49" t="str">
        <f t="shared" si="51"/>
        <v/>
      </c>
      <c r="CQ34" s="49" t="str">
        <f t="shared" si="51"/>
        <v/>
      </c>
      <c r="CR34" s="49" t="str">
        <f t="shared" si="51"/>
        <v/>
      </c>
      <c r="CS34" s="49" t="str">
        <f t="shared" si="51"/>
        <v/>
      </c>
      <c r="CT34" s="49" t="str">
        <f t="shared" si="51"/>
        <v/>
      </c>
      <c r="CU34" s="49" t="str">
        <f t="shared" si="51"/>
        <v/>
      </c>
      <c r="CV34" s="49" t="str">
        <f t="shared" si="51"/>
        <v/>
      </c>
      <c r="CW34" s="49" t="str">
        <f t="shared" si="51"/>
        <v/>
      </c>
      <c r="CX34" s="49" t="str">
        <f t="shared" si="51"/>
        <v/>
      </c>
      <c r="CY34" s="49" t="str">
        <f t="shared" si="51"/>
        <v/>
      </c>
      <c r="CZ34" s="49" t="str">
        <f t="shared" si="51"/>
        <v/>
      </c>
      <c r="DA34" s="49" t="str">
        <f t="shared" si="51"/>
        <v/>
      </c>
      <c r="DB34" s="49" t="str">
        <f t="shared" si="51"/>
        <v/>
      </c>
      <c r="DC34" s="49" t="str">
        <f t="shared" si="51"/>
        <v/>
      </c>
      <c r="DD34" s="49" t="str">
        <f t="shared" si="51"/>
        <v/>
      </c>
      <c r="DE34" s="49" t="str">
        <f t="shared" si="51"/>
        <v/>
      </c>
      <c r="DF34" s="49" t="str">
        <f t="shared" si="51"/>
        <v/>
      </c>
      <c r="DG34" s="49" t="str">
        <f t="shared" si="51"/>
        <v/>
      </c>
      <c r="DH34" s="49" t="str">
        <f t="shared" si="51"/>
        <v/>
      </c>
      <c r="DI34" s="49" t="str">
        <f t="shared" si="51"/>
        <v/>
      </c>
      <c r="DJ34" s="49" t="str">
        <f t="shared" si="51"/>
        <v/>
      </c>
    </row>
    <row r="35" spans="1:114" ht="15.75" customHeight="1" x14ac:dyDescent="0.55000000000000004">
      <c r="A35" s="41" t="e">
        <f>MASANIELLO!#REF!</f>
        <v>#REF!</v>
      </c>
      <c r="B35" s="41" t="e">
        <f t="shared" si="2"/>
        <v>#VALUE!</v>
      </c>
      <c r="C35" s="42" t="e">
        <f t="shared" si="3"/>
        <v>#VALUE!</v>
      </c>
      <c r="D35" s="42" t="e">
        <f t="shared" si="4"/>
        <v>#VALUE!</v>
      </c>
      <c r="E35" s="42" t="e">
        <f t="shared" si="5"/>
        <v>#VALUE!</v>
      </c>
      <c r="F35" s="42" t="e">
        <f t="shared" si="6"/>
        <v>#VALUE!</v>
      </c>
      <c r="G35" s="50" t="e">
        <f t="shared" si="7"/>
        <v>#VALUE!</v>
      </c>
      <c r="H35" s="41" t="e">
        <f t="shared" si="8"/>
        <v>#VALUE!</v>
      </c>
      <c r="I35" s="41" t="e">
        <f t="shared" si="9"/>
        <v>#VALUE!</v>
      </c>
      <c r="J35" s="45" t="e">
        <f t="shared" si="10"/>
        <v>#VALUE!</v>
      </c>
      <c r="M35" s="48" t="b">
        <f t="shared" si="11"/>
        <v>0</v>
      </c>
      <c r="N35" s="49" t="e">
        <f t="shared" ref="N35:DJ35" si="52">IF(N$1&gt;$L$2,   "",   IF(N$1=$L$2,  1,  IF($L$2-N$1=$L$1-$M35, $L$3^($L$1-$M35), ($L$3*N36*O36/(N36+($L$3-1)*O36) ))))</f>
        <v>#DIV/0!</v>
      </c>
      <c r="O35" s="49" t="e">
        <f t="shared" si="52"/>
        <v>#DIV/0!</v>
      </c>
      <c r="P35" s="49" t="e">
        <f t="shared" si="52"/>
        <v>#DIV/0!</v>
      </c>
      <c r="Q35" s="49" t="e">
        <f t="shared" si="52"/>
        <v>#DIV/0!</v>
      </c>
      <c r="R35" s="49">
        <f t="shared" si="52"/>
        <v>1</v>
      </c>
      <c r="S35" s="49" t="str">
        <f t="shared" si="52"/>
        <v/>
      </c>
      <c r="T35" s="49" t="str">
        <f t="shared" si="52"/>
        <v/>
      </c>
      <c r="U35" s="49" t="str">
        <f t="shared" si="52"/>
        <v/>
      </c>
      <c r="V35" s="49" t="str">
        <f t="shared" si="52"/>
        <v/>
      </c>
      <c r="W35" s="49" t="str">
        <f t="shared" si="52"/>
        <v/>
      </c>
      <c r="X35" s="49" t="str">
        <f t="shared" si="52"/>
        <v/>
      </c>
      <c r="Y35" s="49" t="str">
        <f t="shared" si="52"/>
        <v/>
      </c>
      <c r="Z35" s="49" t="str">
        <f t="shared" si="52"/>
        <v/>
      </c>
      <c r="AA35" s="49" t="str">
        <f t="shared" si="52"/>
        <v/>
      </c>
      <c r="AB35" s="49" t="str">
        <f t="shared" si="52"/>
        <v/>
      </c>
      <c r="AC35" s="49" t="str">
        <f t="shared" si="52"/>
        <v/>
      </c>
      <c r="AD35" s="49" t="str">
        <f t="shared" si="52"/>
        <v/>
      </c>
      <c r="AE35" s="49" t="str">
        <f t="shared" si="52"/>
        <v/>
      </c>
      <c r="AF35" s="49" t="str">
        <f t="shared" si="52"/>
        <v/>
      </c>
      <c r="AG35" s="49" t="str">
        <f t="shared" si="52"/>
        <v/>
      </c>
      <c r="AH35" s="49" t="str">
        <f t="shared" si="52"/>
        <v/>
      </c>
      <c r="AI35" s="49" t="str">
        <f t="shared" si="52"/>
        <v/>
      </c>
      <c r="AJ35" s="49" t="str">
        <f t="shared" si="52"/>
        <v/>
      </c>
      <c r="AK35" s="49" t="str">
        <f t="shared" si="52"/>
        <v/>
      </c>
      <c r="AL35" s="49" t="str">
        <f t="shared" si="52"/>
        <v/>
      </c>
      <c r="AM35" s="49" t="str">
        <f t="shared" si="52"/>
        <v/>
      </c>
      <c r="AN35" s="49" t="str">
        <f t="shared" si="52"/>
        <v/>
      </c>
      <c r="AO35" s="49" t="str">
        <f t="shared" si="52"/>
        <v/>
      </c>
      <c r="AP35" s="49" t="str">
        <f t="shared" si="52"/>
        <v/>
      </c>
      <c r="AQ35" s="49" t="str">
        <f t="shared" si="52"/>
        <v/>
      </c>
      <c r="AR35" s="49" t="str">
        <f t="shared" si="52"/>
        <v/>
      </c>
      <c r="AS35" s="49" t="str">
        <f t="shared" si="52"/>
        <v/>
      </c>
      <c r="AT35" s="49" t="str">
        <f t="shared" si="52"/>
        <v/>
      </c>
      <c r="AU35" s="49" t="str">
        <f t="shared" si="52"/>
        <v/>
      </c>
      <c r="AV35" s="49" t="str">
        <f t="shared" si="52"/>
        <v/>
      </c>
      <c r="AW35" s="49" t="str">
        <f t="shared" si="52"/>
        <v/>
      </c>
      <c r="AX35" s="49" t="str">
        <f t="shared" si="52"/>
        <v/>
      </c>
      <c r="AY35" s="49" t="str">
        <f t="shared" si="52"/>
        <v/>
      </c>
      <c r="AZ35" s="49" t="str">
        <f t="shared" si="52"/>
        <v/>
      </c>
      <c r="BA35" s="49" t="str">
        <f t="shared" si="52"/>
        <v/>
      </c>
      <c r="BB35" s="49" t="str">
        <f t="shared" si="52"/>
        <v/>
      </c>
      <c r="BC35" s="49" t="str">
        <f t="shared" si="52"/>
        <v/>
      </c>
      <c r="BD35" s="49" t="str">
        <f t="shared" si="52"/>
        <v/>
      </c>
      <c r="BE35" s="49" t="str">
        <f t="shared" si="52"/>
        <v/>
      </c>
      <c r="BF35" s="49" t="str">
        <f t="shared" si="52"/>
        <v/>
      </c>
      <c r="BG35" s="49" t="str">
        <f t="shared" si="52"/>
        <v/>
      </c>
      <c r="BH35" s="49" t="str">
        <f t="shared" si="52"/>
        <v/>
      </c>
      <c r="BI35" s="49" t="str">
        <f t="shared" si="52"/>
        <v/>
      </c>
      <c r="BJ35" s="49" t="str">
        <f t="shared" si="52"/>
        <v/>
      </c>
      <c r="BK35" s="49" t="str">
        <f t="shared" si="52"/>
        <v/>
      </c>
      <c r="BL35" s="49" t="str">
        <f t="shared" si="52"/>
        <v/>
      </c>
      <c r="BM35" s="49" t="str">
        <f t="shared" si="52"/>
        <v/>
      </c>
      <c r="BN35" s="49" t="str">
        <f t="shared" si="52"/>
        <v/>
      </c>
      <c r="BO35" s="49" t="str">
        <f t="shared" si="52"/>
        <v/>
      </c>
      <c r="BP35" s="49" t="str">
        <f t="shared" si="52"/>
        <v/>
      </c>
      <c r="BQ35" s="49" t="str">
        <f t="shared" si="52"/>
        <v/>
      </c>
      <c r="BR35" s="49" t="str">
        <f t="shared" si="52"/>
        <v/>
      </c>
      <c r="BS35" s="49" t="str">
        <f t="shared" si="52"/>
        <v/>
      </c>
      <c r="BT35" s="49" t="str">
        <f t="shared" si="52"/>
        <v/>
      </c>
      <c r="BU35" s="49" t="str">
        <f t="shared" si="52"/>
        <v/>
      </c>
      <c r="BV35" s="49" t="str">
        <f t="shared" si="52"/>
        <v/>
      </c>
      <c r="BW35" s="49" t="str">
        <f t="shared" si="52"/>
        <v/>
      </c>
      <c r="BX35" s="49" t="str">
        <f t="shared" si="52"/>
        <v/>
      </c>
      <c r="BY35" s="49" t="str">
        <f t="shared" si="52"/>
        <v/>
      </c>
      <c r="BZ35" s="49" t="str">
        <f t="shared" si="52"/>
        <v/>
      </c>
      <c r="CA35" s="49" t="str">
        <f t="shared" si="52"/>
        <v/>
      </c>
      <c r="CB35" s="49" t="str">
        <f t="shared" si="52"/>
        <v/>
      </c>
      <c r="CC35" s="49" t="str">
        <f t="shared" si="52"/>
        <v/>
      </c>
      <c r="CD35" s="49" t="str">
        <f t="shared" si="52"/>
        <v/>
      </c>
      <c r="CE35" s="49" t="str">
        <f t="shared" si="52"/>
        <v/>
      </c>
      <c r="CF35" s="49" t="str">
        <f t="shared" si="52"/>
        <v/>
      </c>
      <c r="CG35" s="49" t="str">
        <f t="shared" si="52"/>
        <v/>
      </c>
      <c r="CH35" s="49" t="str">
        <f t="shared" si="52"/>
        <v/>
      </c>
      <c r="CI35" s="49" t="str">
        <f t="shared" si="52"/>
        <v/>
      </c>
      <c r="CJ35" s="49" t="str">
        <f t="shared" si="52"/>
        <v/>
      </c>
      <c r="CK35" s="49" t="str">
        <f t="shared" si="52"/>
        <v/>
      </c>
      <c r="CL35" s="49" t="str">
        <f t="shared" si="52"/>
        <v/>
      </c>
      <c r="CM35" s="49" t="str">
        <f t="shared" si="52"/>
        <v/>
      </c>
      <c r="CN35" s="49" t="str">
        <f t="shared" si="52"/>
        <v/>
      </c>
      <c r="CO35" s="49" t="str">
        <f t="shared" si="52"/>
        <v/>
      </c>
      <c r="CP35" s="49" t="str">
        <f t="shared" si="52"/>
        <v/>
      </c>
      <c r="CQ35" s="49" t="str">
        <f t="shared" si="52"/>
        <v/>
      </c>
      <c r="CR35" s="49" t="str">
        <f t="shared" si="52"/>
        <v/>
      </c>
      <c r="CS35" s="49" t="str">
        <f t="shared" si="52"/>
        <v/>
      </c>
      <c r="CT35" s="49" t="str">
        <f t="shared" si="52"/>
        <v/>
      </c>
      <c r="CU35" s="49" t="str">
        <f t="shared" si="52"/>
        <v/>
      </c>
      <c r="CV35" s="49" t="str">
        <f t="shared" si="52"/>
        <v/>
      </c>
      <c r="CW35" s="49" t="str">
        <f t="shared" si="52"/>
        <v/>
      </c>
      <c r="CX35" s="49" t="str">
        <f t="shared" si="52"/>
        <v/>
      </c>
      <c r="CY35" s="49" t="str">
        <f t="shared" si="52"/>
        <v/>
      </c>
      <c r="CZ35" s="49" t="str">
        <f t="shared" si="52"/>
        <v/>
      </c>
      <c r="DA35" s="49" t="str">
        <f t="shared" si="52"/>
        <v/>
      </c>
      <c r="DB35" s="49" t="str">
        <f t="shared" si="52"/>
        <v/>
      </c>
      <c r="DC35" s="49" t="str">
        <f t="shared" si="52"/>
        <v/>
      </c>
      <c r="DD35" s="49" t="str">
        <f t="shared" si="52"/>
        <v/>
      </c>
      <c r="DE35" s="49" t="str">
        <f t="shared" si="52"/>
        <v/>
      </c>
      <c r="DF35" s="49" t="str">
        <f t="shared" si="52"/>
        <v/>
      </c>
      <c r="DG35" s="49" t="str">
        <f t="shared" si="52"/>
        <v/>
      </c>
      <c r="DH35" s="49" t="str">
        <f t="shared" si="52"/>
        <v/>
      </c>
      <c r="DI35" s="49" t="str">
        <f t="shared" si="52"/>
        <v/>
      </c>
      <c r="DJ35" s="49" t="str">
        <f t="shared" si="52"/>
        <v/>
      </c>
    </row>
    <row r="36" spans="1:114" ht="15.75" customHeight="1" x14ac:dyDescent="0.55000000000000004">
      <c r="A36" s="41" t="e">
        <f>MASANIELLO!#REF!</f>
        <v>#REF!</v>
      </c>
      <c r="B36" s="41" t="e">
        <f t="shared" si="2"/>
        <v>#VALUE!</v>
      </c>
      <c r="C36" s="42" t="e">
        <f t="shared" si="3"/>
        <v>#VALUE!</v>
      </c>
      <c r="D36" s="42" t="e">
        <f t="shared" si="4"/>
        <v>#VALUE!</v>
      </c>
      <c r="E36" s="42" t="e">
        <f t="shared" si="5"/>
        <v>#VALUE!</v>
      </c>
      <c r="F36" s="42" t="e">
        <f t="shared" si="6"/>
        <v>#VALUE!</v>
      </c>
      <c r="G36" s="50" t="e">
        <f t="shared" si="7"/>
        <v>#VALUE!</v>
      </c>
      <c r="H36" s="41" t="e">
        <f t="shared" si="8"/>
        <v>#VALUE!</v>
      </c>
      <c r="I36" s="41" t="e">
        <f t="shared" si="9"/>
        <v>#VALUE!</v>
      </c>
      <c r="J36" s="45" t="e">
        <f t="shared" si="10"/>
        <v>#VALUE!</v>
      </c>
      <c r="M36" s="48" t="b">
        <f t="shared" si="11"/>
        <v>0</v>
      </c>
      <c r="N36" s="49" t="e">
        <f t="shared" ref="N36:DJ36" si="53">IF(N$1&gt;$L$2,   "",   IF(N$1=$L$2,  1,  IF($L$2-N$1=$L$1-$M36, $L$3^($L$1-$M36), ($L$3*N37*O37/(N37+($L$3-1)*O37) ))))</f>
        <v>#DIV/0!</v>
      </c>
      <c r="O36" s="49" t="e">
        <f t="shared" si="53"/>
        <v>#DIV/0!</v>
      </c>
      <c r="P36" s="49" t="e">
        <f t="shared" si="53"/>
        <v>#DIV/0!</v>
      </c>
      <c r="Q36" s="49" t="e">
        <f t="shared" si="53"/>
        <v>#DIV/0!</v>
      </c>
      <c r="R36" s="49">
        <f t="shared" si="53"/>
        <v>1</v>
      </c>
      <c r="S36" s="49" t="str">
        <f t="shared" si="53"/>
        <v/>
      </c>
      <c r="T36" s="49" t="str">
        <f t="shared" si="53"/>
        <v/>
      </c>
      <c r="U36" s="49" t="str">
        <f t="shared" si="53"/>
        <v/>
      </c>
      <c r="V36" s="49" t="str">
        <f t="shared" si="53"/>
        <v/>
      </c>
      <c r="W36" s="49" t="str">
        <f t="shared" si="53"/>
        <v/>
      </c>
      <c r="X36" s="49" t="str">
        <f t="shared" si="53"/>
        <v/>
      </c>
      <c r="Y36" s="49" t="str">
        <f t="shared" si="53"/>
        <v/>
      </c>
      <c r="Z36" s="49" t="str">
        <f t="shared" si="53"/>
        <v/>
      </c>
      <c r="AA36" s="49" t="str">
        <f t="shared" si="53"/>
        <v/>
      </c>
      <c r="AB36" s="49" t="str">
        <f t="shared" si="53"/>
        <v/>
      </c>
      <c r="AC36" s="49" t="str">
        <f t="shared" si="53"/>
        <v/>
      </c>
      <c r="AD36" s="49" t="str">
        <f t="shared" si="53"/>
        <v/>
      </c>
      <c r="AE36" s="49" t="str">
        <f t="shared" si="53"/>
        <v/>
      </c>
      <c r="AF36" s="49" t="str">
        <f t="shared" si="53"/>
        <v/>
      </c>
      <c r="AG36" s="49" t="str">
        <f t="shared" si="53"/>
        <v/>
      </c>
      <c r="AH36" s="49" t="str">
        <f t="shared" si="53"/>
        <v/>
      </c>
      <c r="AI36" s="49" t="str">
        <f t="shared" si="53"/>
        <v/>
      </c>
      <c r="AJ36" s="49" t="str">
        <f t="shared" si="53"/>
        <v/>
      </c>
      <c r="AK36" s="49" t="str">
        <f t="shared" si="53"/>
        <v/>
      </c>
      <c r="AL36" s="49" t="str">
        <f t="shared" si="53"/>
        <v/>
      </c>
      <c r="AM36" s="49" t="str">
        <f t="shared" si="53"/>
        <v/>
      </c>
      <c r="AN36" s="49" t="str">
        <f t="shared" si="53"/>
        <v/>
      </c>
      <c r="AO36" s="49" t="str">
        <f t="shared" si="53"/>
        <v/>
      </c>
      <c r="AP36" s="49" t="str">
        <f t="shared" si="53"/>
        <v/>
      </c>
      <c r="AQ36" s="49" t="str">
        <f t="shared" si="53"/>
        <v/>
      </c>
      <c r="AR36" s="49" t="str">
        <f t="shared" si="53"/>
        <v/>
      </c>
      <c r="AS36" s="49" t="str">
        <f t="shared" si="53"/>
        <v/>
      </c>
      <c r="AT36" s="49" t="str">
        <f t="shared" si="53"/>
        <v/>
      </c>
      <c r="AU36" s="49" t="str">
        <f t="shared" si="53"/>
        <v/>
      </c>
      <c r="AV36" s="49" t="str">
        <f t="shared" si="53"/>
        <v/>
      </c>
      <c r="AW36" s="49" t="str">
        <f t="shared" si="53"/>
        <v/>
      </c>
      <c r="AX36" s="49" t="str">
        <f t="shared" si="53"/>
        <v/>
      </c>
      <c r="AY36" s="49" t="str">
        <f t="shared" si="53"/>
        <v/>
      </c>
      <c r="AZ36" s="49" t="str">
        <f t="shared" si="53"/>
        <v/>
      </c>
      <c r="BA36" s="49" t="str">
        <f t="shared" si="53"/>
        <v/>
      </c>
      <c r="BB36" s="49" t="str">
        <f t="shared" si="53"/>
        <v/>
      </c>
      <c r="BC36" s="49" t="str">
        <f t="shared" si="53"/>
        <v/>
      </c>
      <c r="BD36" s="49" t="str">
        <f t="shared" si="53"/>
        <v/>
      </c>
      <c r="BE36" s="49" t="str">
        <f t="shared" si="53"/>
        <v/>
      </c>
      <c r="BF36" s="49" t="str">
        <f t="shared" si="53"/>
        <v/>
      </c>
      <c r="BG36" s="49" t="str">
        <f t="shared" si="53"/>
        <v/>
      </c>
      <c r="BH36" s="49" t="str">
        <f t="shared" si="53"/>
        <v/>
      </c>
      <c r="BI36" s="49" t="str">
        <f t="shared" si="53"/>
        <v/>
      </c>
      <c r="BJ36" s="49" t="str">
        <f t="shared" si="53"/>
        <v/>
      </c>
      <c r="BK36" s="49" t="str">
        <f t="shared" si="53"/>
        <v/>
      </c>
      <c r="BL36" s="49" t="str">
        <f t="shared" si="53"/>
        <v/>
      </c>
      <c r="BM36" s="49" t="str">
        <f t="shared" si="53"/>
        <v/>
      </c>
      <c r="BN36" s="49" t="str">
        <f t="shared" si="53"/>
        <v/>
      </c>
      <c r="BO36" s="49" t="str">
        <f t="shared" si="53"/>
        <v/>
      </c>
      <c r="BP36" s="49" t="str">
        <f t="shared" si="53"/>
        <v/>
      </c>
      <c r="BQ36" s="49" t="str">
        <f t="shared" si="53"/>
        <v/>
      </c>
      <c r="BR36" s="49" t="str">
        <f t="shared" si="53"/>
        <v/>
      </c>
      <c r="BS36" s="49" t="str">
        <f t="shared" si="53"/>
        <v/>
      </c>
      <c r="BT36" s="49" t="str">
        <f t="shared" si="53"/>
        <v/>
      </c>
      <c r="BU36" s="49" t="str">
        <f t="shared" si="53"/>
        <v/>
      </c>
      <c r="BV36" s="49" t="str">
        <f t="shared" si="53"/>
        <v/>
      </c>
      <c r="BW36" s="49" t="str">
        <f t="shared" si="53"/>
        <v/>
      </c>
      <c r="BX36" s="49" t="str">
        <f t="shared" si="53"/>
        <v/>
      </c>
      <c r="BY36" s="49" t="str">
        <f t="shared" si="53"/>
        <v/>
      </c>
      <c r="BZ36" s="49" t="str">
        <f t="shared" si="53"/>
        <v/>
      </c>
      <c r="CA36" s="49" t="str">
        <f t="shared" si="53"/>
        <v/>
      </c>
      <c r="CB36" s="49" t="str">
        <f t="shared" si="53"/>
        <v/>
      </c>
      <c r="CC36" s="49" t="str">
        <f t="shared" si="53"/>
        <v/>
      </c>
      <c r="CD36" s="49" t="str">
        <f t="shared" si="53"/>
        <v/>
      </c>
      <c r="CE36" s="49" t="str">
        <f t="shared" si="53"/>
        <v/>
      </c>
      <c r="CF36" s="49" t="str">
        <f t="shared" si="53"/>
        <v/>
      </c>
      <c r="CG36" s="49" t="str">
        <f t="shared" si="53"/>
        <v/>
      </c>
      <c r="CH36" s="49" t="str">
        <f t="shared" si="53"/>
        <v/>
      </c>
      <c r="CI36" s="49" t="str">
        <f t="shared" si="53"/>
        <v/>
      </c>
      <c r="CJ36" s="49" t="str">
        <f t="shared" si="53"/>
        <v/>
      </c>
      <c r="CK36" s="49" t="str">
        <f t="shared" si="53"/>
        <v/>
      </c>
      <c r="CL36" s="49" t="str">
        <f t="shared" si="53"/>
        <v/>
      </c>
      <c r="CM36" s="49" t="str">
        <f t="shared" si="53"/>
        <v/>
      </c>
      <c r="CN36" s="49" t="str">
        <f t="shared" si="53"/>
        <v/>
      </c>
      <c r="CO36" s="49" t="str">
        <f t="shared" si="53"/>
        <v/>
      </c>
      <c r="CP36" s="49" t="str">
        <f t="shared" si="53"/>
        <v/>
      </c>
      <c r="CQ36" s="49" t="str">
        <f t="shared" si="53"/>
        <v/>
      </c>
      <c r="CR36" s="49" t="str">
        <f t="shared" si="53"/>
        <v/>
      </c>
      <c r="CS36" s="49" t="str">
        <f t="shared" si="53"/>
        <v/>
      </c>
      <c r="CT36" s="49" t="str">
        <f t="shared" si="53"/>
        <v/>
      </c>
      <c r="CU36" s="49" t="str">
        <f t="shared" si="53"/>
        <v/>
      </c>
      <c r="CV36" s="49" t="str">
        <f t="shared" si="53"/>
        <v/>
      </c>
      <c r="CW36" s="49" t="str">
        <f t="shared" si="53"/>
        <v/>
      </c>
      <c r="CX36" s="49" t="str">
        <f t="shared" si="53"/>
        <v/>
      </c>
      <c r="CY36" s="49" t="str">
        <f t="shared" si="53"/>
        <v/>
      </c>
      <c r="CZ36" s="49" t="str">
        <f t="shared" si="53"/>
        <v/>
      </c>
      <c r="DA36" s="49" t="str">
        <f t="shared" si="53"/>
        <v/>
      </c>
      <c r="DB36" s="49" t="str">
        <f t="shared" si="53"/>
        <v/>
      </c>
      <c r="DC36" s="49" t="str">
        <f t="shared" si="53"/>
        <v/>
      </c>
      <c r="DD36" s="49" t="str">
        <f t="shared" si="53"/>
        <v/>
      </c>
      <c r="DE36" s="49" t="str">
        <f t="shared" si="53"/>
        <v/>
      </c>
      <c r="DF36" s="49" t="str">
        <f t="shared" si="53"/>
        <v/>
      </c>
      <c r="DG36" s="49" t="str">
        <f t="shared" si="53"/>
        <v/>
      </c>
      <c r="DH36" s="49" t="str">
        <f t="shared" si="53"/>
        <v/>
      </c>
      <c r="DI36" s="49" t="str">
        <f t="shared" si="53"/>
        <v/>
      </c>
      <c r="DJ36" s="49" t="str">
        <f t="shared" si="53"/>
        <v/>
      </c>
    </row>
    <row r="37" spans="1:114" ht="15.75" customHeight="1" x14ac:dyDescent="0.55000000000000004">
      <c r="A37" s="41" t="e">
        <f>MASANIELLO!#REF!</f>
        <v>#REF!</v>
      </c>
      <c r="B37" s="41" t="e">
        <f t="shared" si="2"/>
        <v>#VALUE!</v>
      </c>
      <c r="C37" s="42" t="e">
        <f t="shared" si="3"/>
        <v>#VALUE!</v>
      </c>
      <c r="D37" s="42" t="e">
        <f t="shared" si="4"/>
        <v>#VALUE!</v>
      </c>
      <c r="E37" s="42" t="e">
        <f t="shared" si="5"/>
        <v>#VALUE!</v>
      </c>
      <c r="F37" s="42" t="e">
        <f t="shared" si="6"/>
        <v>#VALUE!</v>
      </c>
      <c r="G37" s="50" t="e">
        <f t="shared" si="7"/>
        <v>#VALUE!</v>
      </c>
      <c r="H37" s="41" t="e">
        <f t="shared" si="8"/>
        <v>#VALUE!</v>
      </c>
      <c r="I37" s="41" t="e">
        <f t="shared" si="9"/>
        <v>#VALUE!</v>
      </c>
      <c r="J37" s="45" t="e">
        <f t="shared" si="10"/>
        <v>#VALUE!</v>
      </c>
      <c r="M37" s="48" t="b">
        <f t="shared" si="11"/>
        <v>0</v>
      </c>
      <c r="N37" s="49" t="e">
        <f t="shared" ref="N37:DJ37" si="54">IF(N$1&gt;$L$2,   "",   IF(N$1=$L$2,  1,  IF($L$2-N$1=$L$1-$M37, $L$3^($L$1-$M37), ($L$3*N38*O38/(N38+($L$3-1)*O38) ))))</f>
        <v>#DIV/0!</v>
      </c>
      <c r="O37" s="49" t="e">
        <f t="shared" si="54"/>
        <v>#DIV/0!</v>
      </c>
      <c r="P37" s="49" t="e">
        <f t="shared" si="54"/>
        <v>#DIV/0!</v>
      </c>
      <c r="Q37" s="49" t="e">
        <f t="shared" si="54"/>
        <v>#DIV/0!</v>
      </c>
      <c r="R37" s="49">
        <f t="shared" si="54"/>
        <v>1</v>
      </c>
      <c r="S37" s="49" t="str">
        <f t="shared" si="54"/>
        <v/>
      </c>
      <c r="T37" s="49" t="str">
        <f t="shared" si="54"/>
        <v/>
      </c>
      <c r="U37" s="49" t="str">
        <f t="shared" si="54"/>
        <v/>
      </c>
      <c r="V37" s="49" t="str">
        <f t="shared" si="54"/>
        <v/>
      </c>
      <c r="W37" s="49" t="str">
        <f t="shared" si="54"/>
        <v/>
      </c>
      <c r="X37" s="49" t="str">
        <f t="shared" si="54"/>
        <v/>
      </c>
      <c r="Y37" s="49" t="str">
        <f t="shared" si="54"/>
        <v/>
      </c>
      <c r="Z37" s="49" t="str">
        <f t="shared" si="54"/>
        <v/>
      </c>
      <c r="AA37" s="49" t="str">
        <f t="shared" si="54"/>
        <v/>
      </c>
      <c r="AB37" s="49" t="str">
        <f t="shared" si="54"/>
        <v/>
      </c>
      <c r="AC37" s="49" t="str">
        <f t="shared" si="54"/>
        <v/>
      </c>
      <c r="AD37" s="49" t="str">
        <f t="shared" si="54"/>
        <v/>
      </c>
      <c r="AE37" s="49" t="str">
        <f t="shared" si="54"/>
        <v/>
      </c>
      <c r="AF37" s="49" t="str">
        <f t="shared" si="54"/>
        <v/>
      </c>
      <c r="AG37" s="49" t="str">
        <f t="shared" si="54"/>
        <v/>
      </c>
      <c r="AH37" s="49" t="str">
        <f t="shared" si="54"/>
        <v/>
      </c>
      <c r="AI37" s="49" t="str">
        <f t="shared" si="54"/>
        <v/>
      </c>
      <c r="AJ37" s="49" t="str">
        <f t="shared" si="54"/>
        <v/>
      </c>
      <c r="AK37" s="49" t="str">
        <f t="shared" si="54"/>
        <v/>
      </c>
      <c r="AL37" s="49" t="str">
        <f t="shared" si="54"/>
        <v/>
      </c>
      <c r="AM37" s="49" t="str">
        <f t="shared" si="54"/>
        <v/>
      </c>
      <c r="AN37" s="49" t="str">
        <f t="shared" si="54"/>
        <v/>
      </c>
      <c r="AO37" s="49" t="str">
        <f t="shared" si="54"/>
        <v/>
      </c>
      <c r="AP37" s="49" t="str">
        <f t="shared" si="54"/>
        <v/>
      </c>
      <c r="AQ37" s="49" t="str">
        <f t="shared" si="54"/>
        <v/>
      </c>
      <c r="AR37" s="49" t="str">
        <f t="shared" si="54"/>
        <v/>
      </c>
      <c r="AS37" s="49" t="str">
        <f t="shared" si="54"/>
        <v/>
      </c>
      <c r="AT37" s="49" t="str">
        <f t="shared" si="54"/>
        <v/>
      </c>
      <c r="AU37" s="49" t="str">
        <f t="shared" si="54"/>
        <v/>
      </c>
      <c r="AV37" s="49" t="str">
        <f t="shared" si="54"/>
        <v/>
      </c>
      <c r="AW37" s="49" t="str">
        <f t="shared" si="54"/>
        <v/>
      </c>
      <c r="AX37" s="49" t="str">
        <f t="shared" si="54"/>
        <v/>
      </c>
      <c r="AY37" s="49" t="str">
        <f t="shared" si="54"/>
        <v/>
      </c>
      <c r="AZ37" s="49" t="str">
        <f t="shared" si="54"/>
        <v/>
      </c>
      <c r="BA37" s="49" t="str">
        <f t="shared" si="54"/>
        <v/>
      </c>
      <c r="BB37" s="49" t="str">
        <f t="shared" si="54"/>
        <v/>
      </c>
      <c r="BC37" s="49" t="str">
        <f t="shared" si="54"/>
        <v/>
      </c>
      <c r="BD37" s="49" t="str">
        <f t="shared" si="54"/>
        <v/>
      </c>
      <c r="BE37" s="49" t="str">
        <f t="shared" si="54"/>
        <v/>
      </c>
      <c r="BF37" s="49" t="str">
        <f t="shared" si="54"/>
        <v/>
      </c>
      <c r="BG37" s="49" t="str">
        <f t="shared" si="54"/>
        <v/>
      </c>
      <c r="BH37" s="49" t="str">
        <f t="shared" si="54"/>
        <v/>
      </c>
      <c r="BI37" s="49" t="str">
        <f t="shared" si="54"/>
        <v/>
      </c>
      <c r="BJ37" s="49" t="str">
        <f t="shared" si="54"/>
        <v/>
      </c>
      <c r="BK37" s="49" t="str">
        <f t="shared" si="54"/>
        <v/>
      </c>
      <c r="BL37" s="49" t="str">
        <f t="shared" si="54"/>
        <v/>
      </c>
      <c r="BM37" s="49" t="str">
        <f t="shared" si="54"/>
        <v/>
      </c>
      <c r="BN37" s="49" t="str">
        <f t="shared" si="54"/>
        <v/>
      </c>
      <c r="BO37" s="49" t="str">
        <f t="shared" si="54"/>
        <v/>
      </c>
      <c r="BP37" s="49" t="str">
        <f t="shared" si="54"/>
        <v/>
      </c>
      <c r="BQ37" s="49" t="str">
        <f t="shared" si="54"/>
        <v/>
      </c>
      <c r="BR37" s="49" t="str">
        <f t="shared" si="54"/>
        <v/>
      </c>
      <c r="BS37" s="49" t="str">
        <f t="shared" si="54"/>
        <v/>
      </c>
      <c r="BT37" s="49" t="str">
        <f t="shared" si="54"/>
        <v/>
      </c>
      <c r="BU37" s="49" t="str">
        <f t="shared" si="54"/>
        <v/>
      </c>
      <c r="BV37" s="49" t="str">
        <f t="shared" si="54"/>
        <v/>
      </c>
      <c r="BW37" s="49" t="str">
        <f t="shared" si="54"/>
        <v/>
      </c>
      <c r="BX37" s="49" t="str">
        <f t="shared" si="54"/>
        <v/>
      </c>
      <c r="BY37" s="49" t="str">
        <f t="shared" si="54"/>
        <v/>
      </c>
      <c r="BZ37" s="49" t="str">
        <f t="shared" si="54"/>
        <v/>
      </c>
      <c r="CA37" s="49" t="str">
        <f t="shared" si="54"/>
        <v/>
      </c>
      <c r="CB37" s="49" t="str">
        <f t="shared" si="54"/>
        <v/>
      </c>
      <c r="CC37" s="49" t="str">
        <f t="shared" si="54"/>
        <v/>
      </c>
      <c r="CD37" s="49" t="str">
        <f t="shared" si="54"/>
        <v/>
      </c>
      <c r="CE37" s="49" t="str">
        <f t="shared" si="54"/>
        <v/>
      </c>
      <c r="CF37" s="49" t="str">
        <f t="shared" si="54"/>
        <v/>
      </c>
      <c r="CG37" s="49" t="str">
        <f t="shared" si="54"/>
        <v/>
      </c>
      <c r="CH37" s="49" t="str">
        <f t="shared" si="54"/>
        <v/>
      </c>
      <c r="CI37" s="49" t="str">
        <f t="shared" si="54"/>
        <v/>
      </c>
      <c r="CJ37" s="49" t="str">
        <f t="shared" si="54"/>
        <v/>
      </c>
      <c r="CK37" s="49" t="str">
        <f t="shared" si="54"/>
        <v/>
      </c>
      <c r="CL37" s="49" t="str">
        <f t="shared" si="54"/>
        <v/>
      </c>
      <c r="CM37" s="49" t="str">
        <f t="shared" si="54"/>
        <v/>
      </c>
      <c r="CN37" s="49" t="str">
        <f t="shared" si="54"/>
        <v/>
      </c>
      <c r="CO37" s="49" t="str">
        <f t="shared" si="54"/>
        <v/>
      </c>
      <c r="CP37" s="49" t="str">
        <f t="shared" si="54"/>
        <v/>
      </c>
      <c r="CQ37" s="49" t="str">
        <f t="shared" si="54"/>
        <v/>
      </c>
      <c r="CR37" s="49" t="str">
        <f t="shared" si="54"/>
        <v/>
      </c>
      <c r="CS37" s="49" t="str">
        <f t="shared" si="54"/>
        <v/>
      </c>
      <c r="CT37" s="49" t="str">
        <f t="shared" si="54"/>
        <v/>
      </c>
      <c r="CU37" s="49" t="str">
        <f t="shared" si="54"/>
        <v/>
      </c>
      <c r="CV37" s="49" t="str">
        <f t="shared" si="54"/>
        <v/>
      </c>
      <c r="CW37" s="49" t="str">
        <f t="shared" si="54"/>
        <v/>
      </c>
      <c r="CX37" s="49" t="str">
        <f t="shared" si="54"/>
        <v/>
      </c>
      <c r="CY37" s="49" t="str">
        <f t="shared" si="54"/>
        <v/>
      </c>
      <c r="CZ37" s="49" t="str">
        <f t="shared" si="54"/>
        <v/>
      </c>
      <c r="DA37" s="49" t="str">
        <f t="shared" si="54"/>
        <v/>
      </c>
      <c r="DB37" s="49" t="str">
        <f t="shared" si="54"/>
        <v/>
      </c>
      <c r="DC37" s="49" t="str">
        <f t="shared" si="54"/>
        <v/>
      </c>
      <c r="DD37" s="49" t="str">
        <f t="shared" si="54"/>
        <v/>
      </c>
      <c r="DE37" s="49" t="str">
        <f t="shared" si="54"/>
        <v/>
      </c>
      <c r="DF37" s="49" t="str">
        <f t="shared" si="54"/>
        <v/>
      </c>
      <c r="DG37" s="49" t="str">
        <f t="shared" si="54"/>
        <v/>
      </c>
      <c r="DH37" s="49" t="str">
        <f t="shared" si="54"/>
        <v/>
      </c>
      <c r="DI37" s="49" t="str">
        <f t="shared" si="54"/>
        <v/>
      </c>
      <c r="DJ37" s="49" t="str">
        <f t="shared" si="54"/>
        <v/>
      </c>
    </row>
    <row r="38" spans="1:114" ht="15.75" customHeight="1" x14ac:dyDescent="0.55000000000000004">
      <c r="A38" s="41" t="e">
        <f>MASANIELLO!#REF!</f>
        <v>#REF!</v>
      </c>
      <c r="B38" s="41" t="e">
        <f t="shared" si="2"/>
        <v>#VALUE!</v>
      </c>
      <c r="C38" s="42" t="e">
        <f t="shared" si="3"/>
        <v>#VALUE!</v>
      </c>
      <c r="D38" s="42" t="e">
        <f t="shared" si="4"/>
        <v>#VALUE!</v>
      </c>
      <c r="E38" s="42" t="e">
        <f t="shared" si="5"/>
        <v>#VALUE!</v>
      </c>
      <c r="F38" s="42" t="e">
        <f t="shared" si="6"/>
        <v>#VALUE!</v>
      </c>
      <c r="G38" s="50" t="e">
        <f t="shared" si="7"/>
        <v>#VALUE!</v>
      </c>
      <c r="H38" s="41" t="e">
        <f t="shared" si="8"/>
        <v>#VALUE!</v>
      </c>
      <c r="I38" s="41" t="e">
        <f t="shared" si="9"/>
        <v>#VALUE!</v>
      </c>
      <c r="J38" s="45" t="e">
        <f t="shared" si="10"/>
        <v>#VALUE!</v>
      </c>
      <c r="M38" s="48" t="b">
        <f t="shared" si="11"/>
        <v>0</v>
      </c>
      <c r="N38" s="49" t="e">
        <f t="shared" ref="N38:DJ38" si="55">IF(N$1&gt;$L$2,   "",   IF(N$1=$L$2,  1,  IF($L$2-N$1=$L$1-$M38, $L$3^($L$1-$M38), ($L$3*N39*O39/(N39+($L$3-1)*O39) ))))</f>
        <v>#DIV/0!</v>
      </c>
      <c r="O38" s="49" t="e">
        <f t="shared" si="55"/>
        <v>#DIV/0!</v>
      </c>
      <c r="P38" s="49" t="e">
        <f t="shared" si="55"/>
        <v>#DIV/0!</v>
      </c>
      <c r="Q38" s="49" t="e">
        <f t="shared" si="55"/>
        <v>#DIV/0!</v>
      </c>
      <c r="R38" s="49">
        <f t="shared" si="55"/>
        <v>1</v>
      </c>
      <c r="S38" s="49" t="str">
        <f t="shared" si="55"/>
        <v/>
      </c>
      <c r="T38" s="49" t="str">
        <f t="shared" si="55"/>
        <v/>
      </c>
      <c r="U38" s="49" t="str">
        <f t="shared" si="55"/>
        <v/>
      </c>
      <c r="V38" s="49" t="str">
        <f t="shared" si="55"/>
        <v/>
      </c>
      <c r="W38" s="49" t="str">
        <f t="shared" si="55"/>
        <v/>
      </c>
      <c r="X38" s="49" t="str">
        <f t="shared" si="55"/>
        <v/>
      </c>
      <c r="Y38" s="49" t="str">
        <f t="shared" si="55"/>
        <v/>
      </c>
      <c r="Z38" s="49" t="str">
        <f t="shared" si="55"/>
        <v/>
      </c>
      <c r="AA38" s="49" t="str">
        <f t="shared" si="55"/>
        <v/>
      </c>
      <c r="AB38" s="49" t="str">
        <f t="shared" si="55"/>
        <v/>
      </c>
      <c r="AC38" s="49" t="str">
        <f t="shared" si="55"/>
        <v/>
      </c>
      <c r="AD38" s="49" t="str">
        <f t="shared" si="55"/>
        <v/>
      </c>
      <c r="AE38" s="49" t="str">
        <f t="shared" si="55"/>
        <v/>
      </c>
      <c r="AF38" s="49" t="str">
        <f t="shared" si="55"/>
        <v/>
      </c>
      <c r="AG38" s="49" t="str">
        <f t="shared" si="55"/>
        <v/>
      </c>
      <c r="AH38" s="49" t="str">
        <f t="shared" si="55"/>
        <v/>
      </c>
      <c r="AI38" s="49" t="str">
        <f t="shared" si="55"/>
        <v/>
      </c>
      <c r="AJ38" s="49" t="str">
        <f t="shared" si="55"/>
        <v/>
      </c>
      <c r="AK38" s="49" t="str">
        <f t="shared" si="55"/>
        <v/>
      </c>
      <c r="AL38" s="49" t="str">
        <f t="shared" si="55"/>
        <v/>
      </c>
      <c r="AM38" s="49" t="str">
        <f t="shared" si="55"/>
        <v/>
      </c>
      <c r="AN38" s="49" t="str">
        <f t="shared" si="55"/>
        <v/>
      </c>
      <c r="AO38" s="49" t="str">
        <f t="shared" si="55"/>
        <v/>
      </c>
      <c r="AP38" s="49" t="str">
        <f t="shared" si="55"/>
        <v/>
      </c>
      <c r="AQ38" s="49" t="str">
        <f t="shared" si="55"/>
        <v/>
      </c>
      <c r="AR38" s="49" t="str">
        <f t="shared" si="55"/>
        <v/>
      </c>
      <c r="AS38" s="49" t="str">
        <f t="shared" si="55"/>
        <v/>
      </c>
      <c r="AT38" s="49" t="str">
        <f t="shared" si="55"/>
        <v/>
      </c>
      <c r="AU38" s="49" t="str">
        <f t="shared" si="55"/>
        <v/>
      </c>
      <c r="AV38" s="49" t="str">
        <f t="shared" si="55"/>
        <v/>
      </c>
      <c r="AW38" s="49" t="str">
        <f t="shared" si="55"/>
        <v/>
      </c>
      <c r="AX38" s="49" t="str">
        <f t="shared" si="55"/>
        <v/>
      </c>
      <c r="AY38" s="49" t="str">
        <f t="shared" si="55"/>
        <v/>
      </c>
      <c r="AZ38" s="49" t="str">
        <f t="shared" si="55"/>
        <v/>
      </c>
      <c r="BA38" s="49" t="str">
        <f t="shared" si="55"/>
        <v/>
      </c>
      <c r="BB38" s="49" t="str">
        <f t="shared" si="55"/>
        <v/>
      </c>
      <c r="BC38" s="49" t="str">
        <f t="shared" si="55"/>
        <v/>
      </c>
      <c r="BD38" s="49" t="str">
        <f t="shared" si="55"/>
        <v/>
      </c>
      <c r="BE38" s="49" t="str">
        <f t="shared" si="55"/>
        <v/>
      </c>
      <c r="BF38" s="49" t="str">
        <f t="shared" si="55"/>
        <v/>
      </c>
      <c r="BG38" s="49" t="str">
        <f t="shared" si="55"/>
        <v/>
      </c>
      <c r="BH38" s="49" t="str">
        <f t="shared" si="55"/>
        <v/>
      </c>
      <c r="BI38" s="49" t="str">
        <f t="shared" si="55"/>
        <v/>
      </c>
      <c r="BJ38" s="49" t="str">
        <f t="shared" si="55"/>
        <v/>
      </c>
      <c r="BK38" s="49" t="str">
        <f t="shared" si="55"/>
        <v/>
      </c>
      <c r="BL38" s="49" t="str">
        <f t="shared" si="55"/>
        <v/>
      </c>
      <c r="BM38" s="49" t="str">
        <f t="shared" si="55"/>
        <v/>
      </c>
      <c r="BN38" s="49" t="str">
        <f t="shared" si="55"/>
        <v/>
      </c>
      <c r="BO38" s="49" t="str">
        <f t="shared" si="55"/>
        <v/>
      </c>
      <c r="BP38" s="49" t="str">
        <f t="shared" si="55"/>
        <v/>
      </c>
      <c r="BQ38" s="49" t="str">
        <f t="shared" si="55"/>
        <v/>
      </c>
      <c r="BR38" s="49" t="str">
        <f t="shared" si="55"/>
        <v/>
      </c>
      <c r="BS38" s="49" t="str">
        <f t="shared" si="55"/>
        <v/>
      </c>
      <c r="BT38" s="49" t="str">
        <f t="shared" si="55"/>
        <v/>
      </c>
      <c r="BU38" s="49" t="str">
        <f t="shared" si="55"/>
        <v/>
      </c>
      <c r="BV38" s="49" t="str">
        <f t="shared" si="55"/>
        <v/>
      </c>
      <c r="BW38" s="49" t="str">
        <f t="shared" si="55"/>
        <v/>
      </c>
      <c r="BX38" s="49" t="str">
        <f t="shared" si="55"/>
        <v/>
      </c>
      <c r="BY38" s="49" t="str">
        <f t="shared" si="55"/>
        <v/>
      </c>
      <c r="BZ38" s="49" t="str">
        <f t="shared" si="55"/>
        <v/>
      </c>
      <c r="CA38" s="49" t="str">
        <f t="shared" si="55"/>
        <v/>
      </c>
      <c r="CB38" s="49" t="str">
        <f t="shared" si="55"/>
        <v/>
      </c>
      <c r="CC38" s="49" t="str">
        <f t="shared" si="55"/>
        <v/>
      </c>
      <c r="CD38" s="49" t="str">
        <f t="shared" si="55"/>
        <v/>
      </c>
      <c r="CE38" s="49" t="str">
        <f t="shared" si="55"/>
        <v/>
      </c>
      <c r="CF38" s="49" t="str">
        <f t="shared" si="55"/>
        <v/>
      </c>
      <c r="CG38" s="49" t="str">
        <f t="shared" si="55"/>
        <v/>
      </c>
      <c r="CH38" s="49" t="str">
        <f t="shared" si="55"/>
        <v/>
      </c>
      <c r="CI38" s="49" t="str">
        <f t="shared" si="55"/>
        <v/>
      </c>
      <c r="CJ38" s="49" t="str">
        <f t="shared" si="55"/>
        <v/>
      </c>
      <c r="CK38" s="49" t="str">
        <f t="shared" si="55"/>
        <v/>
      </c>
      <c r="CL38" s="49" t="str">
        <f t="shared" si="55"/>
        <v/>
      </c>
      <c r="CM38" s="49" t="str">
        <f t="shared" si="55"/>
        <v/>
      </c>
      <c r="CN38" s="49" t="str">
        <f t="shared" si="55"/>
        <v/>
      </c>
      <c r="CO38" s="49" t="str">
        <f t="shared" si="55"/>
        <v/>
      </c>
      <c r="CP38" s="49" t="str">
        <f t="shared" si="55"/>
        <v/>
      </c>
      <c r="CQ38" s="49" t="str">
        <f t="shared" si="55"/>
        <v/>
      </c>
      <c r="CR38" s="49" t="str">
        <f t="shared" si="55"/>
        <v/>
      </c>
      <c r="CS38" s="49" t="str">
        <f t="shared" si="55"/>
        <v/>
      </c>
      <c r="CT38" s="49" t="str">
        <f t="shared" si="55"/>
        <v/>
      </c>
      <c r="CU38" s="49" t="str">
        <f t="shared" si="55"/>
        <v/>
      </c>
      <c r="CV38" s="49" t="str">
        <f t="shared" si="55"/>
        <v/>
      </c>
      <c r="CW38" s="49" t="str">
        <f t="shared" si="55"/>
        <v/>
      </c>
      <c r="CX38" s="49" t="str">
        <f t="shared" si="55"/>
        <v/>
      </c>
      <c r="CY38" s="49" t="str">
        <f t="shared" si="55"/>
        <v/>
      </c>
      <c r="CZ38" s="49" t="str">
        <f t="shared" si="55"/>
        <v/>
      </c>
      <c r="DA38" s="49" t="str">
        <f t="shared" si="55"/>
        <v/>
      </c>
      <c r="DB38" s="49" t="str">
        <f t="shared" si="55"/>
        <v/>
      </c>
      <c r="DC38" s="49" t="str">
        <f t="shared" si="55"/>
        <v/>
      </c>
      <c r="DD38" s="49" t="str">
        <f t="shared" si="55"/>
        <v/>
      </c>
      <c r="DE38" s="49" t="str">
        <f t="shared" si="55"/>
        <v/>
      </c>
      <c r="DF38" s="49" t="str">
        <f t="shared" si="55"/>
        <v/>
      </c>
      <c r="DG38" s="49" t="str">
        <f t="shared" si="55"/>
        <v/>
      </c>
      <c r="DH38" s="49" t="str">
        <f t="shared" si="55"/>
        <v/>
      </c>
      <c r="DI38" s="49" t="str">
        <f t="shared" si="55"/>
        <v/>
      </c>
      <c r="DJ38" s="49" t="str">
        <f t="shared" si="55"/>
        <v/>
      </c>
    </row>
    <row r="39" spans="1:114" ht="15.75" customHeight="1" x14ac:dyDescent="0.55000000000000004">
      <c r="A39" s="41" t="e">
        <f>MASANIELLO!#REF!</f>
        <v>#REF!</v>
      </c>
      <c r="B39" s="41" t="e">
        <f t="shared" si="2"/>
        <v>#VALUE!</v>
      </c>
      <c r="C39" s="42" t="e">
        <f t="shared" si="3"/>
        <v>#VALUE!</v>
      </c>
      <c r="D39" s="42" t="e">
        <f t="shared" si="4"/>
        <v>#VALUE!</v>
      </c>
      <c r="E39" s="42" t="e">
        <f t="shared" si="5"/>
        <v>#VALUE!</v>
      </c>
      <c r="F39" s="42" t="e">
        <f t="shared" si="6"/>
        <v>#VALUE!</v>
      </c>
      <c r="G39" s="50" t="e">
        <f t="shared" si="7"/>
        <v>#VALUE!</v>
      </c>
      <c r="H39" s="41" t="e">
        <f t="shared" si="8"/>
        <v>#VALUE!</v>
      </c>
      <c r="I39" s="41" t="e">
        <f t="shared" si="9"/>
        <v>#VALUE!</v>
      </c>
      <c r="J39" s="45" t="e">
        <f t="shared" si="10"/>
        <v>#VALUE!</v>
      </c>
      <c r="M39" s="48" t="b">
        <f t="shared" si="11"/>
        <v>0</v>
      </c>
      <c r="N39" s="49" t="e">
        <f t="shared" ref="N39:DJ39" si="56">IF(N$1&gt;$L$2,   "",   IF(N$1=$L$2,  1,  IF($L$2-N$1=$L$1-$M39, $L$3^($L$1-$M39), ($L$3*N40*O40/(N40+($L$3-1)*O40) ))))</f>
        <v>#DIV/0!</v>
      </c>
      <c r="O39" s="49" t="e">
        <f t="shared" si="56"/>
        <v>#DIV/0!</v>
      </c>
      <c r="P39" s="49" t="e">
        <f t="shared" si="56"/>
        <v>#DIV/0!</v>
      </c>
      <c r="Q39" s="49" t="e">
        <f t="shared" si="56"/>
        <v>#DIV/0!</v>
      </c>
      <c r="R39" s="49">
        <f t="shared" si="56"/>
        <v>1</v>
      </c>
      <c r="S39" s="49" t="str">
        <f t="shared" si="56"/>
        <v/>
      </c>
      <c r="T39" s="49" t="str">
        <f t="shared" si="56"/>
        <v/>
      </c>
      <c r="U39" s="49" t="str">
        <f t="shared" si="56"/>
        <v/>
      </c>
      <c r="V39" s="49" t="str">
        <f t="shared" si="56"/>
        <v/>
      </c>
      <c r="W39" s="49" t="str">
        <f t="shared" si="56"/>
        <v/>
      </c>
      <c r="X39" s="49" t="str">
        <f t="shared" si="56"/>
        <v/>
      </c>
      <c r="Y39" s="49" t="str">
        <f t="shared" si="56"/>
        <v/>
      </c>
      <c r="Z39" s="49" t="str">
        <f t="shared" si="56"/>
        <v/>
      </c>
      <c r="AA39" s="49" t="str">
        <f t="shared" si="56"/>
        <v/>
      </c>
      <c r="AB39" s="49" t="str">
        <f t="shared" si="56"/>
        <v/>
      </c>
      <c r="AC39" s="49" t="str">
        <f t="shared" si="56"/>
        <v/>
      </c>
      <c r="AD39" s="49" t="str">
        <f t="shared" si="56"/>
        <v/>
      </c>
      <c r="AE39" s="49" t="str">
        <f t="shared" si="56"/>
        <v/>
      </c>
      <c r="AF39" s="49" t="str">
        <f t="shared" si="56"/>
        <v/>
      </c>
      <c r="AG39" s="49" t="str">
        <f t="shared" si="56"/>
        <v/>
      </c>
      <c r="AH39" s="49" t="str">
        <f t="shared" si="56"/>
        <v/>
      </c>
      <c r="AI39" s="49" t="str">
        <f t="shared" si="56"/>
        <v/>
      </c>
      <c r="AJ39" s="49" t="str">
        <f t="shared" si="56"/>
        <v/>
      </c>
      <c r="AK39" s="49" t="str">
        <f t="shared" si="56"/>
        <v/>
      </c>
      <c r="AL39" s="49" t="str">
        <f t="shared" si="56"/>
        <v/>
      </c>
      <c r="AM39" s="49" t="str">
        <f t="shared" si="56"/>
        <v/>
      </c>
      <c r="AN39" s="49" t="str">
        <f t="shared" si="56"/>
        <v/>
      </c>
      <c r="AO39" s="49" t="str">
        <f t="shared" si="56"/>
        <v/>
      </c>
      <c r="AP39" s="49" t="str">
        <f t="shared" si="56"/>
        <v/>
      </c>
      <c r="AQ39" s="49" t="str">
        <f t="shared" si="56"/>
        <v/>
      </c>
      <c r="AR39" s="49" t="str">
        <f t="shared" si="56"/>
        <v/>
      </c>
      <c r="AS39" s="49" t="str">
        <f t="shared" si="56"/>
        <v/>
      </c>
      <c r="AT39" s="49" t="str">
        <f t="shared" si="56"/>
        <v/>
      </c>
      <c r="AU39" s="49" t="str">
        <f t="shared" si="56"/>
        <v/>
      </c>
      <c r="AV39" s="49" t="str">
        <f t="shared" si="56"/>
        <v/>
      </c>
      <c r="AW39" s="49" t="str">
        <f t="shared" si="56"/>
        <v/>
      </c>
      <c r="AX39" s="49" t="str">
        <f t="shared" si="56"/>
        <v/>
      </c>
      <c r="AY39" s="49" t="str">
        <f t="shared" si="56"/>
        <v/>
      </c>
      <c r="AZ39" s="49" t="str">
        <f t="shared" si="56"/>
        <v/>
      </c>
      <c r="BA39" s="49" t="str">
        <f t="shared" si="56"/>
        <v/>
      </c>
      <c r="BB39" s="49" t="str">
        <f t="shared" si="56"/>
        <v/>
      </c>
      <c r="BC39" s="49" t="str">
        <f t="shared" si="56"/>
        <v/>
      </c>
      <c r="BD39" s="49" t="str">
        <f t="shared" si="56"/>
        <v/>
      </c>
      <c r="BE39" s="49" t="str">
        <f t="shared" si="56"/>
        <v/>
      </c>
      <c r="BF39" s="49" t="str">
        <f t="shared" si="56"/>
        <v/>
      </c>
      <c r="BG39" s="49" t="str">
        <f t="shared" si="56"/>
        <v/>
      </c>
      <c r="BH39" s="49" t="str">
        <f t="shared" si="56"/>
        <v/>
      </c>
      <c r="BI39" s="49" t="str">
        <f t="shared" si="56"/>
        <v/>
      </c>
      <c r="BJ39" s="49" t="str">
        <f t="shared" si="56"/>
        <v/>
      </c>
      <c r="BK39" s="49" t="str">
        <f t="shared" si="56"/>
        <v/>
      </c>
      <c r="BL39" s="49" t="str">
        <f t="shared" si="56"/>
        <v/>
      </c>
      <c r="BM39" s="49" t="str">
        <f t="shared" si="56"/>
        <v/>
      </c>
      <c r="BN39" s="49" t="str">
        <f t="shared" si="56"/>
        <v/>
      </c>
      <c r="BO39" s="49" t="str">
        <f t="shared" si="56"/>
        <v/>
      </c>
      <c r="BP39" s="49" t="str">
        <f t="shared" si="56"/>
        <v/>
      </c>
      <c r="BQ39" s="49" t="str">
        <f t="shared" si="56"/>
        <v/>
      </c>
      <c r="BR39" s="49" t="str">
        <f t="shared" si="56"/>
        <v/>
      </c>
      <c r="BS39" s="49" t="str">
        <f t="shared" si="56"/>
        <v/>
      </c>
      <c r="BT39" s="49" t="str">
        <f t="shared" si="56"/>
        <v/>
      </c>
      <c r="BU39" s="49" t="str">
        <f t="shared" si="56"/>
        <v/>
      </c>
      <c r="BV39" s="49" t="str">
        <f t="shared" si="56"/>
        <v/>
      </c>
      <c r="BW39" s="49" t="str">
        <f t="shared" si="56"/>
        <v/>
      </c>
      <c r="BX39" s="49" t="str">
        <f t="shared" si="56"/>
        <v/>
      </c>
      <c r="BY39" s="49" t="str">
        <f t="shared" si="56"/>
        <v/>
      </c>
      <c r="BZ39" s="49" t="str">
        <f t="shared" si="56"/>
        <v/>
      </c>
      <c r="CA39" s="49" t="str">
        <f t="shared" si="56"/>
        <v/>
      </c>
      <c r="CB39" s="49" t="str">
        <f t="shared" si="56"/>
        <v/>
      </c>
      <c r="CC39" s="49" t="str">
        <f t="shared" si="56"/>
        <v/>
      </c>
      <c r="CD39" s="49" t="str">
        <f t="shared" si="56"/>
        <v/>
      </c>
      <c r="CE39" s="49" t="str">
        <f t="shared" si="56"/>
        <v/>
      </c>
      <c r="CF39" s="49" t="str">
        <f t="shared" si="56"/>
        <v/>
      </c>
      <c r="CG39" s="49" t="str">
        <f t="shared" si="56"/>
        <v/>
      </c>
      <c r="CH39" s="49" t="str">
        <f t="shared" si="56"/>
        <v/>
      </c>
      <c r="CI39" s="49" t="str">
        <f t="shared" si="56"/>
        <v/>
      </c>
      <c r="CJ39" s="49" t="str">
        <f t="shared" si="56"/>
        <v/>
      </c>
      <c r="CK39" s="49" t="str">
        <f t="shared" si="56"/>
        <v/>
      </c>
      <c r="CL39" s="49" t="str">
        <f t="shared" si="56"/>
        <v/>
      </c>
      <c r="CM39" s="49" t="str">
        <f t="shared" si="56"/>
        <v/>
      </c>
      <c r="CN39" s="49" t="str">
        <f t="shared" si="56"/>
        <v/>
      </c>
      <c r="CO39" s="49" t="str">
        <f t="shared" si="56"/>
        <v/>
      </c>
      <c r="CP39" s="49" t="str">
        <f t="shared" si="56"/>
        <v/>
      </c>
      <c r="CQ39" s="49" t="str">
        <f t="shared" si="56"/>
        <v/>
      </c>
      <c r="CR39" s="49" t="str">
        <f t="shared" si="56"/>
        <v/>
      </c>
      <c r="CS39" s="49" t="str">
        <f t="shared" si="56"/>
        <v/>
      </c>
      <c r="CT39" s="49" t="str">
        <f t="shared" si="56"/>
        <v/>
      </c>
      <c r="CU39" s="49" t="str">
        <f t="shared" si="56"/>
        <v/>
      </c>
      <c r="CV39" s="49" t="str">
        <f t="shared" si="56"/>
        <v/>
      </c>
      <c r="CW39" s="49" t="str">
        <f t="shared" si="56"/>
        <v/>
      </c>
      <c r="CX39" s="49" t="str">
        <f t="shared" si="56"/>
        <v/>
      </c>
      <c r="CY39" s="49" t="str">
        <f t="shared" si="56"/>
        <v/>
      </c>
      <c r="CZ39" s="49" t="str">
        <f t="shared" si="56"/>
        <v/>
      </c>
      <c r="DA39" s="49" t="str">
        <f t="shared" si="56"/>
        <v/>
      </c>
      <c r="DB39" s="49" t="str">
        <f t="shared" si="56"/>
        <v/>
      </c>
      <c r="DC39" s="49" t="str">
        <f t="shared" si="56"/>
        <v/>
      </c>
      <c r="DD39" s="49" t="str">
        <f t="shared" si="56"/>
        <v/>
      </c>
      <c r="DE39" s="49" t="str">
        <f t="shared" si="56"/>
        <v/>
      </c>
      <c r="DF39" s="49" t="str">
        <f t="shared" si="56"/>
        <v/>
      </c>
      <c r="DG39" s="49" t="str">
        <f t="shared" si="56"/>
        <v/>
      </c>
      <c r="DH39" s="49" t="str">
        <f t="shared" si="56"/>
        <v/>
      </c>
      <c r="DI39" s="49" t="str">
        <f t="shared" si="56"/>
        <v/>
      </c>
      <c r="DJ39" s="49" t="str">
        <f t="shared" si="56"/>
        <v/>
      </c>
    </row>
    <row r="40" spans="1:114" ht="15.75" customHeight="1" x14ac:dyDescent="0.55000000000000004">
      <c r="A40" s="41" t="e">
        <f>MASANIELLO!#REF!</f>
        <v>#REF!</v>
      </c>
      <c r="B40" s="41" t="e">
        <f t="shared" si="2"/>
        <v>#VALUE!</v>
      </c>
      <c r="C40" s="42" t="e">
        <f t="shared" si="3"/>
        <v>#VALUE!</v>
      </c>
      <c r="D40" s="42" t="e">
        <f t="shared" si="4"/>
        <v>#VALUE!</v>
      </c>
      <c r="E40" s="42" t="e">
        <f t="shared" si="5"/>
        <v>#VALUE!</v>
      </c>
      <c r="F40" s="42" t="e">
        <f t="shared" si="6"/>
        <v>#VALUE!</v>
      </c>
      <c r="G40" s="50" t="e">
        <f t="shared" si="7"/>
        <v>#VALUE!</v>
      </c>
      <c r="H40" s="41" t="e">
        <f t="shared" si="8"/>
        <v>#VALUE!</v>
      </c>
      <c r="I40" s="41" t="e">
        <f t="shared" si="9"/>
        <v>#VALUE!</v>
      </c>
      <c r="J40" s="45" t="e">
        <f t="shared" si="10"/>
        <v>#VALUE!</v>
      </c>
      <c r="M40" s="48" t="b">
        <f t="shared" si="11"/>
        <v>0</v>
      </c>
      <c r="N40" s="49" t="e">
        <f t="shared" ref="N40:DJ40" si="57">IF(N$1&gt;$L$2,   "",   IF(N$1=$L$2,  1,  IF($L$2-N$1=$L$1-$M40, $L$3^($L$1-$M40), ($L$3*N41*O41/(N41+($L$3-1)*O41) ))))</f>
        <v>#DIV/0!</v>
      </c>
      <c r="O40" s="49" t="e">
        <f t="shared" si="57"/>
        <v>#DIV/0!</v>
      </c>
      <c r="P40" s="49" t="e">
        <f t="shared" si="57"/>
        <v>#DIV/0!</v>
      </c>
      <c r="Q40" s="49" t="e">
        <f t="shared" si="57"/>
        <v>#DIV/0!</v>
      </c>
      <c r="R40" s="49">
        <f t="shared" si="57"/>
        <v>1</v>
      </c>
      <c r="S40" s="49" t="str">
        <f t="shared" si="57"/>
        <v/>
      </c>
      <c r="T40" s="49" t="str">
        <f t="shared" si="57"/>
        <v/>
      </c>
      <c r="U40" s="49" t="str">
        <f t="shared" si="57"/>
        <v/>
      </c>
      <c r="V40" s="49" t="str">
        <f t="shared" si="57"/>
        <v/>
      </c>
      <c r="W40" s="49" t="str">
        <f t="shared" si="57"/>
        <v/>
      </c>
      <c r="X40" s="49" t="str">
        <f t="shared" si="57"/>
        <v/>
      </c>
      <c r="Y40" s="49" t="str">
        <f t="shared" si="57"/>
        <v/>
      </c>
      <c r="Z40" s="49" t="str">
        <f t="shared" si="57"/>
        <v/>
      </c>
      <c r="AA40" s="49" t="str">
        <f t="shared" si="57"/>
        <v/>
      </c>
      <c r="AB40" s="49" t="str">
        <f t="shared" si="57"/>
        <v/>
      </c>
      <c r="AC40" s="49" t="str">
        <f t="shared" si="57"/>
        <v/>
      </c>
      <c r="AD40" s="49" t="str">
        <f t="shared" si="57"/>
        <v/>
      </c>
      <c r="AE40" s="49" t="str">
        <f t="shared" si="57"/>
        <v/>
      </c>
      <c r="AF40" s="49" t="str">
        <f t="shared" si="57"/>
        <v/>
      </c>
      <c r="AG40" s="49" t="str">
        <f t="shared" si="57"/>
        <v/>
      </c>
      <c r="AH40" s="49" t="str">
        <f t="shared" si="57"/>
        <v/>
      </c>
      <c r="AI40" s="49" t="str">
        <f t="shared" si="57"/>
        <v/>
      </c>
      <c r="AJ40" s="49" t="str">
        <f t="shared" si="57"/>
        <v/>
      </c>
      <c r="AK40" s="49" t="str">
        <f t="shared" si="57"/>
        <v/>
      </c>
      <c r="AL40" s="49" t="str">
        <f t="shared" si="57"/>
        <v/>
      </c>
      <c r="AM40" s="49" t="str">
        <f t="shared" si="57"/>
        <v/>
      </c>
      <c r="AN40" s="49" t="str">
        <f t="shared" si="57"/>
        <v/>
      </c>
      <c r="AO40" s="49" t="str">
        <f t="shared" si="57"/>
        <v/>
      </c>
      <c r="AP40" s="49" t="str">
        <f t="shared" si="57"/>
        <v/>
      </c>
      <c r="AQ40" s="49" t="str">
        <f t="shared" si="57"/>
        <v/>
      </c>
      <c r="AR40" s="49" t="str">
        <f t="shared" si="57"/>
        <v/>
      </c>
      <c r="AS40" s="49" t="str">
        <f t="shared" si="57"/>
        <v/>
      </c>
      <c r="AT40" s="49" t="str">
        <f t="shared" si="57"/>
        <v/>
      </c>
      <c r="AU40" s="49" t="str">
        <f t="shared" si="57"/>
        <v/>
      </c>
      <c r="AV40" s="49" t="str">
        <f t="shared" si="57"/>
        <v/>
      </c>
      <c r="AW40" s="49" t="str">
        <f t="shared" si="57"/>
        <v/>
      </c>
      <c r="AX40" s="49" t="str">
        <f t="shared" si="57"/>
        <v/>
      </c>
      <c r="AY40" s="49" t="str">
        <f t="shared" si="57"/>
        <v/>
      </c>
      <c r="AZ40" s="49" t="str">
        <f t="shared" si="57"/>
        <v/>
      </c>
      <c r="BA40" s="49" t="str">
        <f t="shared" si="57"/>
        <v/>
      </c>
      <c r="BB40" s="49" t="str">
        <f t="shared" si="57"/>
        <v/>
      </c>
      <c r="BC40" s="49" t="str">
        <f t="shared" si="57"/>
        <v/>
      </c>
      <c r="BD40" s="49" t="str">
        <f t="shared" si="57"/>
        <v/>
      </c>
      <c r="BE40" s="49" t="str">
        <f t="shared" si="57"/>
        <v/>
      </c>
      <c r="BF40" s="49" t="str">
        <f t="shared" si="57"/>
        <v/>
      </c>
      <c r="BG40" s="49" t="str">
        <f t="shared" si="57"/>
        <v/>
      </c>
      <c r="BH40" s="49" t="str">
        <f t="shared" si="57"/>
        <v/>
      </c>
      <c r="BI40" s="49" t="str">
        <f t="shared" si="57"/>
        <v/>
      </c>
      <c r="BJ40" s="49" t="str">
        <f t="shared" si="57"/>
        <v/>
      </c>
      <c r="BK40" s="49" t="str">
        <f t="shared" si="57"/>
        <v/>
      </c>
      <c r="BL40" s="49" t="str">
        <f t="shared" si="57"/>
        <v/>
      </c>
      <c r="BM40" s="49" t="str">
        <f t="shared" si="57"/>
        <v/>
      </c>
      <c r="BN40" s="49" t="str">
        <f t="shared" si="57"/>
        <v/>
      </c>
      <c r="BO40" s="49" t="str">
        <f t="shared" si="57"/>
        <v/>
      </c>
      <c r="BP40" s="49" t="str">
        <f t="shared" si="57"/>
        <v/>
      </c>
      <c r="BQ40" s="49" t="str">
        <f t="shared" si="57"/>
        <v/>
      </c>
      <c r="BR40" s="49" t="str">
        <f t="shared" si="57"/>
        <v/>
      </c>
      <c r="BS40" s="49" t="str">
        <f t="shared" si="57"/>
        <v/>
      </c>
      <c r="BT40" s="49" t="str">
        <f t="shared" si="57"/>
        <v/>
      </c>
      <c r="BU40" s="49" t="str">
        <f t="shared" si="57"/>
        <v/>
      </c>
      <c r="BV40" s="49" t="str">
        <f t="shared" si="57"/>
        <v/>
      </c>
      <c r="BW40" s="49" t="str">
        <f t="shared" si="57"/>
        <v/>
      </c>
      <c r="BX40" s="49" t="str">
        <f t="shared" si="57"/>
        <v/>
      </c>
      <c r="BY40" s="49" t="str">
        <f t="shared" si="57"/>
        <v/>
      </c>
      <c r="BZ40" s="49" t="str">
        <f t="shared" si="57"/>
        <v/>
      </c>
      <c r="CA40" s="49" t="str">
        <f t="shared" si="57"/>
        <v/>
      </c>
      <c r="CB40" s="49" t="str">
        <f t="shared" si="57"/>
        <v/>
      </c>
      <c r="CC40" s="49" t="str">
        <f t="shared" si="57"/>
        <v/>
      </c>
      <c r="CD40" s="49" t="str">
        <f t="shared" si="57"/>
        <v/>
      </c>
      <c r="CE40" s="49" t="str">
        <f t="shared" si="57"/>
        <v/>
      </c>
      <c r="CF40" s="49" t="str">
        <f t="shared" si="57"/>
        <v/>
      </c>
      <c r="CG40" s="49" t="str">
        <f t="shared" si="57"/>
        <v/>
      </c>
      <c r="CH40" s="49" t="str">
        <f t="shared" si="57"/>
        <v/>
      </c>
      <c r="CI40" s="49" t="str">
        <f t="shared" si="57"/>
        <v/>
      </c>
      <c r="CJ40" s="49" t="str">
        <f t="shared" si="57"/>
        <v/>
      </c>
      <c r="CK40" s="49" t="str">
        <f t="shared" si="57"/>
        <v/>
      </c>
      <c r="CL40" s="49" t="str">
        <f t="shared" si="57"/>
        <v/>
      </c>
      <c r="CM40" s="49" t="str">
        <f t="shared" si="57"/>
        <v/>
      </c>
      <c r="CN40" s="49" t="str">
        <f t="shared" si="57"/>
        <v/>
      </c>
      <c r="CO40" s="49" t="str">
        <f t="shared" si="57"/>
        <v/>
      </c>
      <c r="CP40" s="49" t="str">
        <f t="shared" si="57"/>
        <v/>
      </c>
      <c r="CQ40" s="49" t="str">
        <f t="shared" si="57"/>
        <v/>
      </c>
      <c r="CR40" s="49" t="str">
        <f t="shared" si="57"/>
        <v/>
      </c>
      <c r="CS40" s="49" t="str">
        <f t="shared" si="57"/>
        <v/>
      </c>
      <c r="CT40" s="49" t="str">
        <f t="shared" si="57"/>
        <v/>
      </c>
      <c r="CU40" s="49" t="str">
        <f t="shared" si="57"/>
        <v/>
      </c>
      <c r="CV40" s="49" t="str">
        <f t="shared" si="57"/>
        <v/>
      </c>
      <c r="CW40" s="49" t="str">
        <f t="shared" si="57"/>
        <v/>
      </c>
      <c r="CX40" s="49" t="str">
        <f t="shared" si="57"/>
        <v/>
      </c>
      <c r="CY40" s="49" t="str">
        <f t="shared" si="57"/>
        <v/>
      </c>
      <c r="CZ40" s="49" t="str">
        <f t="shared" si="57"/>
        <v/>
      </c>
      <c r="DA40" s="49" t="str">
        <f t="shared" si="57"/>
        <v/>
      </c>
      <c r="DB40" s="49" t="str">
        <f t="shared" si="57"/>
        <v/>
      </c>
      <c r="DC40" s="49" t="str">
        <f t="shared" si="57"/>
        <v/>
      </c>
      <c r="DD40" s="49" t="str">
        <f t="shared" si="57"/>
        <v/>
      </c>
      <c r="DE40" s="49" t="str">
        <f t="shared" si="57"/>
        <v/>
      </c>
      <c r="DF40" s="49" t="str">
        <f t="shared" si="57"/>
        <v/>
      </c>
      <c r="DG40" s="49" t="str">
        <f t="shared" si="57"/>
        <v/>
      </c>
      <c r="DH40" s="49" t="str">
        <f t="shared" si="57"/>
        <v/>
      </c>
      <c r="DI40" s="49" t="str">
        <f t="shared" si="57"/>
        <v/>
      </c>
      <c r="DJ40" s="49" t="str">
        <f t="shared" si="57"/>
        <v/>
      </c>
    </row>
    <row r="41" spans="1:114" ht="15.75" customHeight="1" x14ac:dyDescent="0.55000000000000004">
      <c r="A41" s="41" t="e">
        <f>MASANIELLO!#REF!</f>
        <v>#REF!</v>
      </c>
      <c r="B41" s="41" t="e">
        <f t="shared" si="2"/>
        <v>#VALUE!</v>
      </c>
      <c r="C41" s="42" t="e">
        <f t="shared" si="3"/>
        <v>#VALUE!</v>
      </c>
      <c r="D41" s="42" t="e">
        <f t="shared" si="4"/>
        <v>#VALUE!</v>
      </c>
      <c r="E41" s="42" t="e">
        <f t="shared" si="5"/>
        <v>#VALUE!</v>
      </c>
      <c r="F41" s="42" t="e">
        <f t="shared" si="6"/>
        <v>#VALUE!</v>
      </c>
      <c r="G41" s="50" t="e">
        <f t="shared" si="7"/>
        <v>#VALUE!</v>
      </c>
      <c r="H41" s="41" t="e">
        <f t="shared" si="8"/>
        <v>#VALUE!</v>
      </c>
      <c r="I41" s="41" t="e">
        <f t="shared" si="9"/>
        <v>#VALUE!</v>
      </c>
      <c r="J41" s="45" t="e">
        <f t="shared" si="10"/>
        <v>#VALUE!</v>
      </c>
      <c r="M41" s="48" t="b">
        <f t="shared" si="11"/>
        <v>0</v>
      </c>
      <c r="N41" s="49" t="e">
        <f t="shared" ref="N41:DJ41" si="58">IF(N$1&gt;$L$2,   "",   IF(N$1=$L$2,  1,  IF($L$2-N$1=$L$1-$M41, $L$3^($L$1-$M41), ($L$3*N42*O42/(N42+($L$3-1)*O42) ))))</f>
        <v>#DIV/0!</v>
      </c>
      <c r="O41" s="49" t="e">
        <f t="shared" si="58"/>
        <v>#DIV/0!</v>
      </c>
      <c r="P41" s="49" t="e">
        <f t="shared" si="58"/>
        <v>#DIV/0!</v>
      </c>
      <c r="Q41" s="49" t="e">
        <f t="shared" si="58"/>
        <v>#DIV/0!</v>
      </c>
      <c r="R41" s="49">
        <f t="shared" si="58"/>
        <v>1</v>
      </c>
      <c r="S41" s="49" t="str">
        <f t="shared" si="58"/>
        <v/>
      </c>
      <c r="T41" s="49" t="str">
        <f t="shared" si="58"/>
        <v/>
      </c>
      <c r="U41" s="49" t="str">
        <f t="shared" si="58"/>
        <v/>
      </c>
      <c r="V41" s="49" t="str">
        <f t="shared" si="58"/>
        <v/>
      </c>
      <c r="W41" s="49" t="str">
        <f t="shared" si="58"/>
        <v/>
      </c>
      <c r="X41" s="49" t="str">
        <f t="shared" si="58"/>
        <v/>
      </c>
      <c r="Y41" s="49" t="str">
        <f t="shared" si="58"/>
        <v/>
      </c>
      <c r="Z41" s="49" t="str">
        <f t="shared" si="58"/>
        <v/>
      </c>
      <c r="AA41" s="49" t="str">
        <f t="shared" si="58"/>
        <v/>
      </c>
      <c r="AB41" s="49" t="str">
        <f t="shared" si="58"/>
        <v/>
      </c>
      <c r="AC41" s="49" t="str">
        <f t="shared" si="58"/>
        <v/>
      </c>
      <c r="AD41" s="49" t="str">
        <f t="shared" si="58"/>
        <v/>
      </c>
      <c r="AE41" s="49" t="str">
        <f t="shared" si="58"/>
        <v/>
      </c>
      <c r="AF41" s="49" t="str">
        <f t="shared" si="58"/>
        <v/>
      </c>
      <c r="AG41" s="49" t="str">
        <f t="shared" si="58"/>
        <v/>
      </c>
      <c r="AH41" s="49" t="str">
        <f t="shared" si="58"/>
        <v/>
      </c>
      <c r="AI41" s="49" t="str">
        <f t="shared" si="58"/>
        <v/>
      </c>
      <c r="AJ41" s="49" t="str">
        <f t="shared" si="58"/>
        <v/>
      </c>
      <c r="AK41" s="49" t="str">
        <f t="shared" si="58"/>
        <v/>
      </c>
      <c r="AL41" s="49" t="str">
        <f t="shared" si="58"/>
        <v/>
      </c>
      <c r="AM41" s="49" t="str">
        <f t="shared" si="58"/>
        <v/>
      </c>
      <c r="AN41" s="49" t="str">
        <f t="shared" si="58"/>
        <v/>
      </c>
      <c r="AO41" s="49" t="str">
        <f t="shared" si="58"/>
        <v/>
      </c>
      <c r="AP41" s="49" t="str">
        <f t="shared" si="58"/>
        <v/>
      </c>
      <c r="AQ41" s="49" t="str">
        <f t="shared" si="58"/>
        <v/>
      </c>
      <c r="AR41" s="49" t="str">
        <f t="shared" si="58"/>
        <v/>
      </c>
      <c r="AS41" s="49" t="str">
        <f t="shared" si="58"/>
        <v/>
      </c>
      <c r="AT41" s="49" t="str">
        <f t="shared" si="58"/>
        <v/>
      </c>
      <c r="AU41" s="49" t="str">
        <f t="shared" si="58"/>
        <v/>
      </c>
      <c r="AV41" s="49" t="str">
        <f t="shared" si="58"/>
        <v/>
      </c>
      <c r="AW41" s="49" t="str">
        <f t="shared" si="58"/>
        <v/>
      </c>
      <c r="AX41" s="49" t="str">
        <f t="shared" si="58"/>
        <v/>
      </c>
      <c r="AY41" s="49" t="str">
        <f t="shared" si="58"/>
        <v/>
      </c>
      <c r="AZ41" s="49" t="str">
        <f t="shared" si="58"/>
        <v/>
      </c>
      <c r="BA41" s="49" t="str">
        <f t="shared" si="58"/>
        <v/>
      </c>
      <c r="BB41" s="49" t="str">
        <f t="shared" si="58"/>
        <v/>
      </c>
      <c r="BC41" s="49" t="str">
        <f t="shared" si="58"/>
        <v/>
      </c>
      <c r="BD41" s="49" t="str">
        <f t="shared" si="58"/>
        <v/>
      </c>
      <c r="BE41" s="49" t="str">
        <f t="shared" si="58"/>
        <v/>
      </c>
      <c r="BF41" s="49" t="str">
        <f t="shared" si="58"/>
        <v/>
      </c>
      <c r="BG41" s="49" t="str">
        <f t="shared" si="58"/>
        <v/>
      </c>
      <c r="BH41" s="49" t="str">
        <f t="shared" si="58"/>
        <v/>
      </c>
      <c r="BI41" s="49" t="str">
        <f t="shared" si="58"/>
        <v/>
      </c>
      <c r="BJ41" s="49" t="str">
        <f t="shared" si="58"/>
        <v/>
      </c>
      <c r="BK41" s="49" t="str">
        <f t="shared" si="58"/>
        <v/>
      </c>
      <c r="BL41" s="49" t="str">
        <f t="shared" si="58"/>
        <v/>
      </c>
      <c r="BM41" s="49" t="str">
        <f t="shared" si="58"/>
        <v/>
      </c>
      <c r="BN41" s="49" t="str">
        <f t="shared" si="58"/>
        <v/>
      </c>
      <c r="BO41" s="49" t="str">
        <f t="shared" si="58"/>
        <v/>
      </c>
      <c r="BP41" s="49" t="str">
        <f t="shared" si="58"/>
        <v/>
      </c>
      <c r="BQ41" s="49" t="str">
        <f t="shared" si="58"/>
        <v/>
      </c>
      <c r="BR41" s="49" t="str">
        <f t="shared" si="58"/>
        <v/>
      </c>
      <c r="BS41" s="49" t="str">
        <f t="shared" si="58"/>
        <v/>
      </c>
      <c r="BT41" s="49" t="str">
        <f t="shared" si="58"/>
        <v/>
      </c>
      <c r="BU41" s="49" t="str">
        <f t="shared" si="58"/>
        <v/>
      </c>
      <c r="BV41" s="49" t="str">
        <f t="shared" si="58"/>
        <v/>
      </c>
      <c r="BW41" s="49" t="str">
        <f t="shared" si="58"/>
        <v/>
      </c>
      <c r="BX41" s="49" t="str">
        <f t="shared" si="58"/>
        <v/>
      </c>
      <c r="BY41" s="49" t="str">
        <f t="shared" si="58"/>
        <v/>
      </c>
      <c r="BZ41" s="49" t="str">
        <f t="shared" si="58"/>
        <v/>
      </c>
      <c r="CA41" s="49" t="str">
        <f t="shared" si="58"/>
        <v/>
      </c>
      <c r="CB41" s="49" t="str">
        <f t="shared" si="58"/>
        <v/>
      </c>
      <c r="CC41" s="49" t="str">
        <f t="shared" si="58"/>
        <v/>
      </c>
      <c r="CD41" s="49" t="str">
        <f t="shared" si="58"/>
        <v/>
      </c>
      <c r="CE41" s="49" t="str">
        <f t="shared" si="58"/>
        <v/>
      </c>
      <c r="CF41" s="49" t="str">
        <f t="shared" si="58"/>
        <v/>
      </c>
      <c r="CG41" s="49" t="str">
        <f t="shared" si="58"/>
        <v/>
      </c>
      <c r="CH41" s="49" t="str">
        <f t="shared" si="58"/>
        <v/>
      </c>
      <c r="CI41" s="49" t="str">
        <f t="shared" si="58"/>
        <v/>
      </c>
      <c r="CJ41" s="49" t="str">
        <f t="shared" si="58"/>
        <v/>
      </c>
      <c r="CK41" s="49" t="str">
        <f t="shared" si="58"/>
        <v/>
      </c>
      <c r="CL41" s="49" t="str">
        <f t="shared" si="58"/>
        <v/>
      </c>
      <c r="CM41" s="49" t="str">
        <f t="shared" si="58"/>
        <v/>
      </c>
      <c r="CN41" s="49" t="str">
        <f t="shared" si="58"/>
        <v/>
      </c>
      <c r="CO41" s="49" t="str">
        <f t="shared" si="58"/>
        <v/>
      </c>
      <c r="CP41" s="49" t="str">
        <f t="shared" si="58"/>
        <v/>
      </c>
      <c r="CQ41" s="49" t="str">
        <f t="shared" si="58"/>
        <v/>
      </c>
      <c r="CR41" s="49" t="str">
        <f t="shared" si="58"/>
        <v/>
      </c>
      <c r="CS41" s="49" t="str">
        <f t="shared" si="58"/>
        <v/>
      </c>
      <c r="CT41" s="49" t="str">
        <f t="shared" si="58"/>
        <v/>
      </c>
      <c r="CU41" s="49" t="str">
        <f t="shared" si="58"/>
        <v/>
      </c>
      <c r="CV41" s="49" t="str">
        <f t="shared" si="58"/>
        <v/>
      </c>
      <c r="CW41" s="49" t="str">
        <f t="shared" si="58"/>
        <v/>
      </c>
      <c r="CX41" s="49" t="str">
        <f t="shared" si="58"/>
        <v/>
      </c>
      <c r="CY41" s="49" t="str">
        <f t="shared" si="58"/>
        <v/>
      </c>
      <c r="CZ41" s="49" t="str">
        <f t="shared" si="58"/>
        <v/>
      </c>
      <c r="DA41" s="49" t="str">
        <f t="shared" si="58"/>
        <v/>
      </c>
      <c r="DB41" s="49" t="str">
        <f t="shared" si="58"/>
        <v/>
      </c>
      <c r="DC41" s="49" t="str">
        <f t="shared" si="58"/>
        <v/>
      </c>
      <c r="DD41" s="49" t="str">
        <f t="shared" si="58"/>
        <v/>
      </c>
      <c r="DE41" s="49" t="str">
        <f t="shared" si="58"/>
        <v/>
      </c>
      <c r="DF41" s="49" t="str">
        <f t="shared" si="58"/>
        <v/>
      </c>
      <c r="DG41" s="49" t="str">
        <f t="shared" si="58"/>
        <v/>
      </c>
      <c r="DH41" s="49" t="str">
        <f t="shared" si="58"/>
        <v/>
      </c>
      <c r="DI41" s="49" t="str">
        <f t="shared" si="58"/>
        <v/>
      </c>
      <c r="DJ41" s="49" t="str">
        <f t="shared" si="58"/>
        <v/>
      </c>
    </row>
    <row r="42" spans="1:114" ht="15.75" customHeight="1" x14ac:dyDescent="0.55000000000000004">
      <c r="A42" s="41" t="e">
        <f>MASANIELLO!#REF!</f>
        <v>#REF!</v>
      </c>
      <c r="B42" s="41" t="e">
        <f t="shared" si="2"/>
        <v>#VALUE!</v>
      </c>
      <c r="C42" s="42" t="e">
        <f t="shared" si="3"/>
        <v>#VALUE!</v>
      </c>
      <c r="D42" s="42" t="e">
        <f t="shared" si="4"/>
        <v>#VALUE!</v>
      </c>
      <c r="E42" s="42" t="e">
        <f t="shared" si="5"/>
        <v>#VALUE!</v>
      </c>
      <c r="F42" s="42" t="e">
        <f t="shared" si="6"/>
        <v>#VALUE!</v>
      </c>
      <c r="G42" s="50" t="e">
        <f t="shared" si="7"/>
        <v>#VALUE!</v>
      </c>
      <c r="H42" s="41" t="e">
        <f t="shared" si="8"/>
        <v>#VALUE!</v>
      </c>
      <c r="I42" s="41" t="e">
        <f t="shared" si="9"/>
        <v>#VALUE!</v>
      </c>
      <c r="J42" s="45" t="e">
        <f t="shared" si="10"/>
        <v>#VALUE!</v>
      </c>
      <c r="M42" s="48" t="b">
        <f t="shared" si="11"/>
        <v>0</v>
      </c>
      <c r="N42" s="49" t="e">
        <f t="shared" ref="N42:DJ42" si="59">IF(N$1&gt;$L$2,   "",   IF(N$1=$L$2,  1,  IF($L$2-N$1=$L$1-$M42, $L$3^($L$1-$M42), ($L$3*N43*O43/(N43+($L$3-1)*O43) ))))</f>
        <v>#DIV/0!</v>
      </c>
      <c r="O42" s="49" t="e">
        <f t="shared" si="59"/>
        <v>#DIV/0!</v>
      </c>
      <c r="P42" s="49" t="e">
        <f t="shared" si="59"/>
        <v>#DIV/0!</v>
      </c>
      <c r="Q42" s="49" t="e">
        <f t="shared" si="59"/>
        <v>#DIV/0!</v>
      </c>
      <c r="R42" s="49">
        <f t="shared" si="59"/>
        <v>1</v>
      </c>
      <c r="S42" s="49" t="str">
        <f t="shared" si="59"/>
        <v/>
      </c>
      <c r="T42" s="49" t="str">
        <f t="shared" si="59"/>
        <v/>
      </c>
      <c r="U42" s="49" t="str">
        <f t="shared" si="59"/>
        <v/>
      </c>
      <c r="V42" s="49" t="str">
        <f t="shared" si="59"/>
        <v/>
      </c>
      <c r="W42" s="49" t="str">
        <f t="shared" si="59"/>
        <v/>
      </c>
      <c r="X42" s="49" t="str">
        <f t="shared" si="59"/>
        <v/>
      </c>
      <c r="Y42" s="49" t="str">
        <f t="shared" si="59"/>
        <v/>
      </c>
      <c r="Z42" s="49" t="str">
        <f t="shared" si="59"/>
        <v/>
      </c>
      <c r="AA42" s="49" t="str">
        <f t="shared" si="59"/>
        <v/>
      </c>
      <c r="AB42" s="49" t="str">
        <f t="shared" si="59"/>
        <v/>
      </c>
      <c r="AC42" s="49" t="str">
        <f t="shared" si="59"/>
        <v/>
      </c>
      <c r="AD42" s="49" t="str">
        <f t="shared" si="59"/>
        <v/>
      </c>
      <c r="AE42" s="49" t="str">
        <f t="shared" si="59"/>
        <v/>
      </c>
      <c r="AF42" s="49" t="str">
        <f t="shared" si="59"/>
        <v/>
      </c>
      <c r="AG42" s="49" t="str">
        <f t="shared" si="59"/>
        <v/>
      </c>
      <c r="AH42" s="49" t="str">
        <f t="shared" si="59"/>
        <v/>
      </c>
      <c r="AI42" s="49" t="str">
        <f t="shared" si="59"/>
        <v/>
      </c>
      <c r="AJ42" s="49" t="str">
        <f t="shared" si="59"/>
        <v/>
      </c>
      <c r="AK42" s="49" t="str">
        <f t="shared" si="59"/>
        <v/>
      </c>
      <c r="AL42" s="49" t="str">
        <f t="shared" si="59"/>
        <v/>
      </c>
      <c r="AM42" s="49" t="str">
        <f t="shared" si="59"/>
        <v/>
      </c>
      <c r="AN42" s="49" t="str">
        <f t="shared" si="59"/>
        <v/>
      </c>
      <c r="AO42" s="49" t="str">
        <f t="shared" si="59"/>
        <v/>
      </c>
      <c r="AP42" s="49" t="str">
        <f t="shared" si="59"/>
        <v/>
      </c>
      <c r="AQ42" s="49" t="str">
        <f t="shared" si="59"/>
        <v/>
      </c>
      <c r="AR42" s="49" t="str">
        <f t="shared" si="59"/>
        <v/>
      </c>
      <c r="AS42" s="49" t="str">
        <f t="shared" si="59"/>
        <v/>
      </c>
      <c r="AT42" s="49" t="str">
        <f t="shared" si="59"/>
        <v/>
      </c>
      <c r="AU42" s="49" t="str">
        <f t="shared" si="59"/>
        <v/>
      </c>
      <c r="AV42" s="49" t="str">
        <f t="shared" si="59"/>
        <v/>
      </c>
      <c r="AW42" s="49" t="str">
        <f t="shared" si="59"/>
        <v/>
      </c>
      <c r="AX42" s="49" t="str">
        <f t="shared" si="59"/>
        <v/>
      </c>
      <c r="AY42" s="49" t="str">
        <f t="shared" si="59"/>
        <v/>
      </c>
      <c r="AZ42" s="49" t="str">
        <f t="shared" si="59"/>
        <v/>
      </c>
      <c r="BA42" s="49" t="str">
        <f t="shared" si="59"/>
        <v/>
      </c>
      <c r="BB42" s="49" t="str">
        <f t="shared" si="59"/>
        <v/>
      </c>
      <c r="BC42" s="49" t="str">
        <f t="shared" si="59"/>
        <v/>
      </c>
      <c r="BD42" s="49" t="str">
        <f t="shared" si="59"/>
        <v/>
      </c>
      <c r="BE42" s="49" t="str">
        <f t="shared" si="59"/>
        <v/>
      </c>
      <c r="BF42" s="49" t="str">
        <f t="shared" si="59"/>
        <v/>
      </c>
      <c r="BG42" s="49" t="str">
        <f t="shared" si="59"/>
        <v/>
      </c>
      <c r="BH42" s="49" t="str">
        <f t="shared" si="59"/>
        <v/>
      </c>
      <c r="BI42" s="49" t="str">
        <f t="shared" si="59"/>
        <v/>
      </c>
      <c r="BJ42" s="49" t="str">
        <f t="shared" si="59"/>
        <v/>
      </c>
      <c r="BK42" s="49" t="str">
        <f t="shared" si="59"/>
        <v/>
      </c>
      <c r="BL42" s="49" t="str">
        <f t="shared" si="59"/>
        <v/>
      </c>
      <c r="BM42" s="49" t="str">
        <f t="shared" si="59"/>
        <v/>
      </c>
      <c r="BN42" s="49" t="str">
        <f t="shared" si="59"/>
        <v/>
      </c>
      <c r="BO42" s="49" t="str">
        <f t="shared" si="59"/>
        <v/>
      </c>
      <c r="BP42" s="49" t="str">
        <f t="shared" si="59"/>
        <v/>
      </c>
      <c r="BQ42" s="49" t="str">
        <f t="shared" si="59"/>
        <v/>
      </c>
      <c r="BR42" s="49" t="str">
        <f t="shared" si="59"/>
        <v/>
      </c>
      <c r="BS42" s="49" t="str">
        <f t="shared" si="59"/>
        <v/>
      </c>
      <c r="BT42" s="49" t="str">
        <f t="shared" si="59"/>
        <v/>
      </c>
      <c r="BU42" s="49" t="str">
        <f t="shared" si="59"/>
        <v/>
      </c>
      <c r="BV42" s="49" t="str">
        <f t="shared" si="59"/>
        <v/>
      </c>
      <c r="BW42" s="49" t="str">
        <f t="shared" si="59"/>
        <v/>
      </c>
      <c r="BX42" s="49" t="str">
        <f t="shared" si="59"/>
        <v/>
      </c>
      <c r="BY42" s="49" t="str">
        <f t="shared" si="59"/>
        <v/>
      </c>
      <c r="BZ42" s="49" t="str">
        <f t="shared" si="59"/>
        <v/>
      </c>
      <c r="CA42" s="49" t="str">
        <f t="shared" si="59"/>
        <v/>
      </c>
      <c r="CB42" s="49" t="str">
        <f t="shared" si="59"/>
        <v/>
      </c>
      <c r="CC42" s="49" t="str">
        <f t="shared" si="59"/>
        <v/>
      </c>
      <c r="CD42" s="49" t="str">
        <f t="shared" si="59"/>
        <v/>
      </c>
      <c r="CE42" s="49" t="str">
        <f t="shared" si="59"/>
        <v/>
      </c>
      <c r="CF42" s="49" t="str">
        <f t="shared" si="59"/>
        <v/>
      </c>
      <c r="CG42" s="49" t="str">
        <f t="shared" si="59"/>
        <v/>
      </c>
      <c r="CH42" s="49" t="str">
        <f t="shared" si="59"/>
        <v/>
      </c>
      <c r="CI42" s="49" t="str">
        <f t="shared" si="59"/>
        <v/>
      </c>
      <c r="CJ42" s="49" t="str">
        <f t="shared" si="59"/>
        <v/>
      </c>
      <c r="CK42" s="49" t="str">
        <f t="shared" si="59"/>
        <v/>
      </c>
      <c r="CL42" s="49" t="str">
        <f t="shared" si="59"/>
        <v/>
      </c>
      <c r="CM42" s="49" t="str">
        <f t="shared" si="59"/>
        <v/>
      </c>
      <c r="CN42" s="49" t="str">
        <f t="shared" si="59"/>
        <v/>
      </c>
      <c r="CO42" s="49" t="str">
        <f t="shared" si="59"/>
        <v/>
      </c>
      <c r="CP42" s="49" t="str">
        <f t="shared" si="59"/>
        <v/>
      </c>
      <c r="CQ42" s="49" t="str">
        <f t="shared" si="59"/>
        <v/>
      </c>
      <c r="CR42" s="49" t="str">
        <f t="shared" si="59"/>
        <v/>
      </c>
      <c r="CS42" s="49" t="str">
        <f t="shared" si="59"/>
        <v/>
      </c>
      <c r="CT42" s="49" t="str">
        <f t="shared" si="59"/>
        <v/>
      </c>
      <c r="CU42" s="49" t="str">
        <f t="shared" si="59"/>
        <v/>
      </c>
      <c r="CV42" s="49" t="str">
        <f t="shared" si="59"/>
        <v/>
      </c>
      <c r="CW42" s="49" t="str">
        <f t="shared" si="59"/>
        <v/>
      </c>
      <c r="CX42" s="49" t="str">
        <f t="shared" si="59"/>
        <v/>
      </c>
      <c r="CY42" s="49" t="str">
        <f t="shared" si="59"/>
        <v/>
      </c>
      <c r="CZ42" s="49" t="str">
        <f t="shared" si="59"/>
        <v/>
      </c>
      <c r="DA42" s="49" t="str">
        <f t="shared" si="59"/>
        <v/>
      </c>
      <c r="DB42" s="49" t="str">
        <f t="shared" si="59"/>
        <v/>
      </c>
      <c r="DC42" s="49" t="str">
        <f t="shared" si="59"/>
        <v/>
      </c>
      <c r="DD42" s="49" t="str">
        <f t="shared" si="59"/>
        <v/>
      </c>
      <c r="DE42" s="49" t="str">
        <f t="shared" si="59"/>
        <v/>
      </c>
      <c r="DF42" s="49" t="str">
        <f t="shared" si="59"/>
        <v/>
      </c>
      <c r="DG42" s="49" t="str">
        <f t="shared" si="59"/>
        <v/>
      </c>
      <c r="DH42" s="49" t="str">
        <f t="shared" si="59"/>
        <v/>
      </c>
      <c r="DI42" s="49" t="str">
        <f t="shared" si="59"/>
        <v/>
      </c>
      <c r="DJ42" s="49" t="str">
        <f t="shared" si="59"/>
        <v/>
      </c>
    </row>
    <row r="43" spans="1:114" ht="15.75" customHeight="1" x14ac:dyDescent="0.55000000000000004">
      <c r="A43" s="41" t="e">
        <f>MASANIELLO!#REF!</f>
        <v>#REF!</v>
      </c>
      <c r="B43" s="41" t="e">
        <f t="shared" si="2"/>
        <v>#VALUE!</v>
      </c>
      <c r="C43" s="42" t="e">
        <f t="shared" si="3"/>
        <v>#VALUE!</v>
      </c>
      <c r="D43" s="42" t="e">
        <f t="shared" si="4"/>
        <v>#VALUE!</v>
      </c>
      <c r="E43" s="42" t="e">
        <f t="shared" si="5"/>
        <v>#VALUE!</v>
      </c>
      <c r="F43" s="42" t="e">
        <f t="shared" si="6"/>
        <v>#VALUE!</v>
      </c>
      <c r="G43" s="50" t="e">
        <f t="shared" si="7"/>
        <v>#VALUE!</v>
      </c>
      <c r="H43" s="41" t="e">
        <f t="shared" si="8"/>
        <v>#VALUE!</v>
      </c>
      <c r="I43" s="41" t="e">
        <f t="shared" si="9"/>
        <v>#VALUE!</v>
      </c>
      <c r="J43" s="45" t="e">
        <f t="shared" si="10"/>
        <v>#VALUE!</v>
      </c>
      <c r="M43" s="48" t="b">
        <f t="shared" si="11"/>
        <v>0</v>
      </c>
      <c r="N43" s="49" t="e">
        <f t="shared" ref="N43:DJ43" si="60">IF(N$1&gt;$L$2,   "",   IF(N$1=$L$2,  1,  IF($L$2-N$1=$L$1-$M43, $L$3^($L$1-$M43), ($L$3*N44*O44/(N44+($L$3-1)*O44) ))))</f>
        <v>#DIV/0!</v>
      </c>
      <c r="O43" s="49" t="e">
        <f t="shared" si="60"/>
        <v>#DIV/0!</v>
      </c>
      <c r="P43" s="49" t="e">
        <f t="shared" si="60"/>
        <v>#DIV/0!</v>
      </c>
      <c r="Q43" s="49" t="e">
        <f t="shared" si="60"/>
        <v>#DIV/0!</v>
      </c>
      <c r="R43" s="49">
        <f t="shared" si="60"/>
        <v>1</v>
      </c>
      <c r="S43" s="49" t="str">
        <f t="shared" si="60"/>
        <v/>
      </c>
      <c r="T43" s="49" t="str">
        <f t="shared" si="60"/>
        <v/>
      </c>
      <c r="U43" s="49" t="str">
        <f t="shared" si="60"/>
        <v/>
      </c>
      <c r="V43" s="49" t="str">
        <f t="shared" si="60"/>
        <v/>
      </c>
      <c r="W43" s="49" t="str">
        <f t="shared" si="60"/>
        <v/>
      </c>
      <c r="X43" s="49" t="str">
        <f t="shared" si="60"/>
        <v/>
      </c>
      <c r="Y43" s="49" t="str">
        <f t="shared" si="60"/>
        <v/>
      </c>
      <c r="Z43" s="49" t="str">
        <f t="shared" si="60"/>
        <v/>
      </c>
      <c r="AA43" s="49" t="str">
        <f t="shared" si="60"/>
        <v/>
      </c>
      <c r="AB43" s="49" t="str">
        <f t="shared" si="60"/>
        <v/>
      </c>
      <c r="AC43" s="49" t="str">
        <f t="shared" si="60"/>
        <v/>
      </c>
      <c r="AD43" s="49" t="str">
        <f t="shared" si="60"/>
        <v/>
      </c>
      <c r="AE43" s="49" t="str">
        <f t="shared" si="60"/>
        <v/>
      </c>
      <c r="AF43" s="49" t="str">
        <f t="shared" si="60"/>
        <v/>
      </c>
      <c r="AG43" s="49" t="str">
        <f t="shared" si="60"/>
        <v/>
      </c>
      <c r="AH43" s="49" t="str">
        <f t="shared" si="60"/>
        <v/>
      </c>
      <c r="AI43" s="49" t="str">
        <f t="shared" si="60"/>
        <v/>
      </c>
      <c r="AJ43" s="49" t="str">
        <f t="shared" si="60"/>
        <v/>
      </c>
      <c r="AK43" s="49" t="str">
        <f t="shared" si="60"/>
        <v/>
      </c>
      <c r="AL43" s="49" t="str">
        <f t="shared" si="60"/>
        <v/>
      </c>
      <c r="AM43" s="49" t="str">
        <f t="shared" si="60"/>
        <v/>
      </c>
      <c r="AN43" s="49" t="str">
        <f t="shared" si="60"/>
        <v/>
      </c>
      <c r="AO43" s="49" t="str">
        <f t="shared" si="60"/>
        <v/>
      </c>
      <c r="AP43" s="49" t="str">
        <f t="shared" si="60"/>
        <v/>
      </c>
      <c r="AQ43" s="49" t="str">
        <f t="shared" si="60"/>
        <v/>
      </c>
      <c r="AR43" s="49" t="str">
        <f t="shared" si="60"/>
        <v/>
      </c>
      <c r="AS43" s="49" t="str">
        <f t="shared" si="60"/>
        <v/>
      </c>
      <c r="AT43" s="49" t="str">
        <f t="shared" si="60"/>
        <v/>
      </c>
      <c r="AU43" s="49" t="str">
        <f t="shared" si="60"/>
        <v/>
      </c>
      <c r="AV43" s="49" t="str">
        <f t="shared" si="60"/>
        <v/>
      </c>
      <c r="AW43" s="49" t="str">
        <f t="shared" si="60"/>
        <v/>
      </c>
      <c r="AX43" s="49" t="str">
        <f t="shared" si="60"/>
        <v/>
      </c>
      <c r="AY43" s="49" t="str">
        <f t="shared" si="60"/>
        <v/>
      </c>
      <c r="AZ43" s="49" t="str">
        <f t="shared" si="60"/>
        <v/>
      </c>
      <c r="BA43" s="49" t="str">
        <f t="shared" si="60"/>
        <v/>
      </c>
      <c r="BB43" s="49" t="str">
        <f t="shared" si="60"/>
        <v/>
      </c>
      <c r="BC43" s="49" t="str">
        <f t="shared" si="60"/>
        <v/>
      </c>
      <c r="BD43" s="49" t="str">
        <f t="shared" si="60"/>
        <v/>
      </c>
      <c r="BE43" s="49" t="str">
        <f t="shared" si="60"/>
        <v/>
      </c>
      <c r="BF43" s="49" t="str">
        <f t="shared" si="60"/>
        <v/>
      </c>
      <c r="BG43" s="49" t="str">
        <f t="shared" si="60"/>
        <v/>
      </c>
      <c r="BH43" s="49" t="str">
        <f t="shared" si="60"/>
        <v/>
      </c>
      <c r="BI43" s="49" t="str">
        <f t="shared" si="60"/>
        <v/>
      </c>
      <c r="BJ43" s="49" t="str">
        <f t="shared" si="60"/>
        <v/>
      </c>
      <c r="BK43" s="49" t="str">
        <f t="shared" si="60"/>
        <v/>
      </c>
      <c r="BL43" s="49" t="str">
        <f t="shared" si="60"/>
        <v/>
      </c>
      <c r="BM43" s="49" t="str">
        <f t="shared" si="60"/>
        <v/>
      </c>
      <c r="BN43" s="49" t="str">
        <f t="shared" si="60"/>
        <v/>
      </c>
      <c r="BO43" s="49" t="str">
        <f t="shared" si="60"/>
        <v/>
      </c>
      <c r="BP43" s="49" t="str">
        <f t="shared" si="60"/>
        <v/>
      </c>
      <c r="BQ43" s="49" t="str">
        <f t="shared" si="60"/>
        <v/>
      </c>
      <c r="BR43" s="49" t="str">
        <f t="shared" si="60"/>
        <v/>
      </c>
      <c r="BS43" s="49" t="str">
        <f t="shared" si="60"/>
        <v/>
      </c>
      <c r="BT43" s="49" t="str">
        <f t="shared" si="60"/>
        <v/>
      </c>
      <c r="BU43" s="49" t="str">
        <f t="shared" si="60"/>
        <v/>
      </c>
      <c r="BV43" s="49" t="str">
        <f t="shared" si="60"/>
        <v/>
      </c>
      <c r="BW43" s="49" t="str">
        <f t="shared" si="60"/>
        <v/>
      </c>
      <c r="BX43" s="49" t="str">
        <f t="shared" si="60"/>
        <v/>
      </c>
      <c r="BY43" s="49" t="str">
        <f t="shared" si="60"/>
        <v/>
      </c>
      <c r="BZ43" s="49" t="str">
        <f t="shared" si="60"/>
        <v/>
      </c>
      <c r="CA43" s="49" t="str">
        <f t="shared" si="60"/>
        <v/>
      </c>
      <c r="CB43" s="49" t="str">
        <f t="shared" si="60"/>
        <v/>
      </c>
      <c r="CC43" s="49" t="str">
        <f t="shared" si="60"/>
        <v/>
      </c>
      <c r="CD43" s="49" t="str">
        <f t="shared" si="60"/>
        <v/>
      </c>
      <c r="CE43" s="49" t="str">
        <f t="shared" si="60"/>
        <v/>
      </c>
      <c r="CF43" s="49" t="str">
        <f t="shared" si="60"/>
        <v/>
      </c>
      <c r="CG43" s="49" t="str">
        <f t="shared" si="60"/>
        <v/>
      </c>
      <c r="CH43" s="49" t="str">
        <f t="shared" si="60"/>
        <v/>
      </c>
      <c r="CI43" s="49" t="str">
        <f t="shared" si="60"/>
        <v/>
      </c>
      <c r="CJ43" s="49" t="str">
        <f t="shared" si="60"/>
        <v/>
      </c>
      <c r="CK43" s="49" t="str">
        <f t="shared" si="60"/>
        <v/>
      </c>
      <c r="CL43" s="49" t="str">
        <f t="shared" si="60"/>
        <v/>
      </c>
      <c r="CM43" s="49" t="str">
        <f t="shared" si="60"/>
        <v/>
      </c>
      <c r="CN43" s="49" t="str">
        <f t="shared" si="60"/>
        <v/>
      </c>
      <c r="CO43" s="49" t="str">
        <f t="shared" si="60"/>
        <v/>
      </c>
      <c r="CP43" s="49" t="str">
        <f t="shared" si="60"/>
        <v/>
      </c>
      <c r="CQ43" s="49" t="str">
        <f t="shared" si="60"/>
        <v/>
      </c>
      <c r="CR43" s="49" t="str">
        <f t="shared" si="60"/>
        <v/>
      </c>
      <c r="CS43" s="49" t="str">
        <f t="shared" si="60"/>
        <v/>
      </c>
      <c r="CT43" s="49" t="str">
        <f t="shared" si="60"/>
        <v/>
      </c>
      <c r="CU43" s="49" t="str">
        <f t="shared" si="60"/>
        <v/>
      </c>
      <c r="CV43" s="49" t="str">
        <f t="shared" si="60"/>
        <v/>
      </c>
      <c r="CW43" s="49" t="str">
        <f t="shared" si="60"/>
        <v/>
      </c>
      <c r="CX43" s="49" t="str">
        <f t="shared" si="60"/>
        <v/>
      </c>
      <c r="CY43" s="49" t="str">
        <f t="shared" si="60"/>
        <v/>
      </c>
      <c r="CZ43" s="49" t="str">
        <f t="shared" si="60"/>
        <v/>
      </c>
      <c r="DA43" s="49" t="str">
        <f t="shared" si="60"/>
        <v/>
      </c>
      <c r="DB43" s="49" t="str">
        <f t="shared" si="60"/>
        <v/>
      </c>
      <c r="DC43" s="49" t="str">
        <f t="shared" si="60"/>
        <v/>
      </c>
      <c r="DD43" s="49" t="str">
        <f t="shared" si="60"/>
        <v/>
      </c>
      <c r="DE43" s="49" t="str">
        <f t="shared" si="60"/>
        <v/>
      </c>
      <c r="DF43" s="49" t="str">
        <f t="shared" si="60"/>
        <v/>
      </c>
      <c r="DG43" s="49" t="str">
        <f t="shared" si="60"/>
        <v/>
      </c>
      <c r="DH43" s="49" t="str">
        <f t="shared" si="60"/>
        <v/>
      </c>
      <c r="DI43" s="49" t="str">
        <f t="shared" si="60"/>
        <v/>
      </c>
      <c r="DJ43" s="49" t="str">
        <f t="shared" si="60"/>
        <v/>
      </c>
    </row>
    <row r="44" spans="1:114" ht="15.75" customHeight="1" x14ac:dyDescent="0.55000000000000004">
      <c r="A44" s="41" t="e">
        <f>MASANIELLO!#REF!</f>
        <v>#REF!</v>
      </c>
      <c r="B44" s="41" t="e">
        <f t="shared" si="2"/>
        <v>#VALUE!</v>
      </c>
      <c r="C44" s="42" t="e">
        <f t="shared" si="3"/>
        <v>#VALUE!</v>
      </c>
      <c r="D44" s="42" t="e">
        <f t="shared" si="4"/>
        <v>#VALUE!</v>
      </c>
      <c r="E44" s="42" t="e">
        <f t="shared" si="5"/>
        <v>#VALUE!</v>
      </c>
      <c r="F44" s="42" t="e">
        <f t="shared" si="6"/>
        <v>#VALUE!</v>
      </c>
      <c r="G44" s="50" t="e">
        <f t="shared" si="7"/>
        <v>#VALUE!</v>
      </c>
      <c r="H44" s="41" t="e">
        <f t="shared" si="8"/>
        <v>#VALUE!</v>
      </c>
      <c r="I44" s="41" t="e">
        <f t="shared" si="9"/>
        <v>#VALUE!</v>
      </c>
      <c r="J44" s="45" t="e">
        <f t="shared" si="10"/>
        <v>#VALUE!</v>
      </c>
      <c r="M44" s="48" t="b">
        <f t="shared" si="11"/>
        <v>0</v>
      </c>
      <c r="N44" s="49" t="e">
        <f t="shared" ref="N44:DJ44" si="61">IF(N$1&gt;$L$2,   "",   IF(N$1=$L$2,  1,  IF($L$2-N$1=$L$1-$M44, $L$3^($L$1-$M44), ($L$3*N45*O45/(N45+($L$3-1)*O45) ))))</f>
        <v>#DIV/0!</v>
      </c>
      <c r="O44" s="49" t="e">
        <f t="shared" si="61"/>
        <v>#DIV/0!</v>
      </c>
      <c r="P44" s="49" t="e">
        <f t="shared" si="61"/>
        <v>#DIV/0!</v>
      </c>
      <c r="Q44" s="49" t="e">
        <f t="shared" si="61"/>
        <v>#DIV/0!</v>
      </c>
      <c r="R44" s="49">
        <f t="shared" si="61"/>
        <v>1</v>
      </c>
      <c r="S44" s="49" t="str">
        <f t="shared" si="61"/>
        <v/>
      </c>
      <c r="T44" s="49" t="str">
        <f t="shared" si="61"/>
        <v/>
      </c>
      <c r="U44" s="49" t="str">
        <f t="shared" si="61"/>
        <v/>
      </c>
      <c r="V44" s="49" t="str">
        <f t="shared" si="61"/>
        <v/>
      </c>
      <c r="W44" s="49" t="str">
        <f t="shared" si="61"/>
        <v/>
      </c>
      <c r="X44" s="49" t="str">
        <f t="shared" si="61"/>
        <v/>
      </c>
      <c r="Y44" s="49" t="str">
        <f t="shared" si="61"/>
        <v/>
      </c>
      <c r="Z44" s="49" t="str">
        <f t="shared" si="61"/>
        <v/>
      </c>
      <c r="AA44" s="49" t="str">
        <f t="shared" si="61"/>
        <v/>
      </c>
      <c r="AB44" s="49" t="str">
        <f t="shared" si="61"/>
        <v/>
      </c>
      <c r="AC44" s="49" t="str">
        <f t="shared" si="61"/>
        <v/>
      </c>
      <c r="AD44" s="49" t="str">
        <f t="shared" si="61"/>
        <v/>
      </c>
      <c r="AE44" s="49" t="str">
        <f t="shared" si="61"/>
        <v/>
      </c>
      <c r="AF44" s="49" t="str">
        <f t="shared" si="61"/>
        <v/>
      </c>
      <c r="AG44" s="49" t="str">
        <f t="shared" si="61"/>
        <v/>
      </c>
      <c r="AH44" s="49" t="str">
        <f t="shared" si="61"/>
        <v/>
      </c>
      <c r="AI44" s="49" t="str">
        <f t="shared" si="61"/>
        <v/>
      </c>
      <c r="AJ44" s="49" t="str">
        <f t="shared" si="61"/>
        <v/>
      </c>
      <c r="AK44" s="49" t="str">
        <f t="shared" si="61"/>
        <v/>
      </c>
      <c r="AL44" s="49" t="str">
        <f t="shared" si="61"/>
        <v/>
      </c>
      <c r="AM44" s="49" t="str">
        <f t="shared" si="61"/>
        <v/>
      </c>
      <c r="AN44" s="49" t="str">
        <f t="shared" si="61"/>
        <v/>
      </c>
      <c r="AO44" s="49" t="str">
        <f t="shared" si="61"/>
        <v/>
      </c>
      <c r="AP44" s="49" t="str">
        <f t="shared" si="61"/>
        <v/>
      </c>
      <c r="AQ44" s="49" t="str">
        <f t="shared" si="61"/>
        <v/>
      </c>
      <c r="AR44" s="49" t="str">
        <f t="shared" si="61"/>
        <v/>
      </c>
      <c r="AS44" s="49" t="str">
        <f t="shared" si="61"/>
        <v/>
      </c>
      <c r="AT44" s="49" t="str">
        <f t="shared" si="61"/>
        <v/>
      </c>
      <c r="AU44" s="49" t="str">
        <f t="shared" si="61"/>
        <v/>
      </c>
      <c r="AV44" s="49" t="str">
        <f t="shared" si="61"/>
        <v/>
      </c>
      <c r="AW44" s="49" t="str">
        <f t="shared" si="61"/>
        <v/>
      </c>
      <c r="AX44" s="49" t="str">
        <f t="shared" si="61"/>
        <v/>
      </c>
      <c r="AY44" s="49" t="str">
        <f t="shared" si="61"/>
        <v/>
      </c>
      <c r="AZ44" s="49" t="str">
        <f t="shared" si="61"/>
        <v/>
      </c>
      <c r="BA44" s="49" t="str">
        <f t="shared" si="61"/>
        <v/>
      </c>
      <c r="BB44" s="49" t="str">
        <f t="shared" si="61"/>
        <v/>
      </c>
      <c r="BC44" s="49" t="str">
        <f t="shared" si="61"/>
        <v/>
      </c>
      <c r="BD44" s="49" t="str">
        <f t="shared" si="61"/>
        <v/>
      </c>
      <c r="BE44" s="49" t="str">
        <f t="shared" si="61"/>
        <v/>
      </c>
      <c r="BF44" s="49" t="str">
        <f t="shared" si="61"/>
        <v/>
      </c>
      <c r="BG44" s="49" t="str">
        <f t="shared" si="61"/>
        <v/>
      </c>
      <c r="BH44" s="49" t="str">
        <f t="shared" si="61"/>
        <v/>
      </c>
      <c r="BI44" s="49" t="str">
        <f t="shared" si="61"/>
        <v/>
      </c>
      <c r="BJ44" s="49" t="str">
        <f t="shared" si="61"/>
        <v/>
      </c>
      <c r="BK44" s="49" t="str">
        <f t="shared" si="61"/>
        <v/>
      </c>
      <c r="BL44" s="49" t="str">
        <f t="shared" si="61"/>
        <v/>
      </c>
      <c r="BM44" s="49" t="str">
        <f t="shared" si="61"/>
        <v/>
      </c>
      <c r="BN44" s="49" t="str">
        <f t="shared" si="61"/>
        <v/>
      </c>
      <c r="BO44" s="49" t="str">
        <f t="shared" si="61"/>
        <v/>
      </c>
      <c r="BP44" s="49" t="str">
        <f t="shared" si="61"/>
        <v/>
      </c>
      <c r="BQ44" s="49" t="str">
        <f t="shared" si="61"/>
        <v/>
      </c>
      <c r="BR44" s="49" t="str">
        <f t="shared" si="61"/>
        <v/>
      </c>
      <c r="BS44" s="49" t="str">
        <f t="shared" si="61"/>
        <v/>
      </c>
      <c r="BT44" s="49" t="str">
        <f t="shared" si="61"/>
        <v/>
      </c>
      <c r="BU44" s="49" t="str">
        <f t="shared" si="61"/>
        <v/>
      </c>
      <c r="BV44" s="49" t="str">
        <f t="shared" si="61"/>
        <v/>
      </c>
      <c r="BW44" s="49" t="str">
        <f t="shared" si="61"/>
        <v/>
      </c>
      <c r="BX44" s="49" t="str">
        <f t="shared" si="61"/>
        <v/>
      </c>
      <c r="BY44" s="49" t="str">
        <f t="shared" si="61"/>
        <v/>
      </c>
      <c r="BZ44" s="49" t="str">
        <f t="shared" si="61"/>
        <v/>
      </c>
      <c r="CA44" s="49" t="str">
        <f t="shared" si="61"/>
        <v/>
      </c>
      <c r="CB44" s="49" t="str">
        <f t="shared" si="61"/>
        <v/>
      </c>
      <c r="CC44" s="49" t="str">
        <f t="shared" si="61"/>
        <v/>
      </c>
      <c r="CD44" s="49" t="str">
        <f t="shared" si="61"/>
        <v/>
      </c>
      <c r="CE44" s="49" t="str">
        <f t="shared" si="61"/>
        <v/>
      </c>
      <c r="CF44" s="49" t="str">
        <f t="shared" si="61"/>
        <v/>
      </c>
      <c r="CG44" s="49" t="str">
        <f t="shared" si="61"/>
        <v/>
      </c>
      <c r="CH44" s="49" t="str">
        <f t="shared" si="61"/>
        <v/>
      </c>
      <c r="CI44" s="49" t="str">
        <f t="shared" si="61"/>
        <v/>
      </c>
      <c r="CJ44" s="49" t="str">
        <f t="shared" si="61"/>
        <v/>
      </c>
      <c r="CK44" s="49" t="str">
        <f t="shared" si="61"/>
        <v/>
      </c>
      <c r="CL44" s="49" t="str">
        <f t="shared" si="61"/>
        <v/>
      </c>
      <c r="CM44" s="49" t="str">
        <f t="shared" si="61"/>
        <v/>
      </c>
      <c r="CN44" s="49" t="str">
        <f t="shared" si="61"/>
        <v/>
      </c>
      <c r="CO44" s="49" t="str">
        <f t="shared" si="61"/>
        <v/>
      </c>
      <c r="CP44" s="49" t="str">
        <f t="shared" si="61"/>
        <v/>
      </c>
      <c r="CQ44" s="49" t="str">
        <f t="shared" si="61"/>
        <v/>
      </c>
      <c r="CR44" s="49" t="str">
        <f t="shared" si="61"/>
        <v/>
      </c>
      <c r="CS44" s="49" t="str">
        <f t="shared" si="61"/>
        <v/>
      </c>
      <c r="CT44" s="49" t="str">
        <f t="shared" si="61"/>
        <v/>
      </c>
      <c r="CU44" s="49" t="str">
        <f t="shared" si="61"/>
        <v/>
      </c>
      <c r="CV44" s="49" t="str">
        <f t="shared" si="61"/>
        <v/>
      </c>
      <c r="CW44" s="49" t="str">
        <f t="shared" si="61"/>
        <v/>
      </c>
      <c r="CX44" s="49" t="str">
        <f t="shared" si="61"/>
        <v/>
      </c>
      <c r="CY44" s="49" t="str">
        <f t="shared" si="61"/>
        <v/>
      </c>
      <c r="CZ44" s="49" t="str">
        <f t="shared" si="61"/>
        <v/>
      </c>
      <c r="DA44" s="49" t="str">
        <f t="shared" si="61"/>
        <v/>
      </c>
      <c r="DB44" s="49" t="str">
        <f t="shared" si="61"/>
        <v/>
      </c>
      <c r="DC44" s="49" t="str">
        <f t="shared" si="61"/>
        <v/>
      </c>
      <c r="DD44" s="49" t="str">
        <f t="shared" si="61"/>
        <v/>
      </c>
      <c r="DE44" s="49" t="str">
        <f t="shared" si="61"/>
        <v/>
      </c>
      <c r="DF44" s="49" t="str">
        <f t="shared" si="61"/>
        <v/>
      </c>
      <c r="DG44" s="49" t="str">
        <f t="shared" si="61"/>
        <v/>
      </c>
      <c r="DH44" s="49" t="str">
        <f t="shared" si="61"/>
        <v/>
      </c>
      <c r="DI44" s="49" t="str">
        <f t="shared" si="61"/>
        <v/>
      </c>
      <c r="DJ44" s="49" t="str">
        <f t="shared" si="61"/>
        <v/>
      </c>
    </row>
    <row r="45" spans="1:114" ht="15.75" customHeight="1" x14ac:dyDescent="0.55000000000000004">
      <c r="A45" s="41" t="e">
        <f>MASANIELLO!#REF!</f>
        <v>#REF!</v>
      </c>
      <c r="B45" s="41" t="e">
        <f t="shared" si="2"/>
        <v>#VALUE!</v>
      </c>
      <c r="C45" s="42" t="e">
        <f t="shared" si="3"/>
        <v>#VALUE!</v>
      </c>
      <c r="D45" s="42" t="e">
        <f t="shared" si="4"/>
        <v>#VALUE!</v>
      </c>
      <c r="E45" s="42" t="e">
        <f t="shared" si="5"/>
        <v>#VALUE!</v>
      </c>
      <c r="F45" s="42" t="e">
        <f t="shared" si="6"/>
        <v>#VALUE!</v>
      </c>
      <c r="G45" s="50" t="e">
        <f t="shared" si="7"/>
        <v>#VALUE!</v>
      </c>
      <c r="H45" s="41" t="e">
        <f t="shared" si="8"/>
        <v>#VALUE!</v>
      </c>
      <c r="I45" s="41" t="e">
        <f t="shared" si="9"/>
        <v>#VALUE!</v>
      </c>
      <c r="J45" s="45" t="e">
        <f t="shared" si="10"/>
        <v>#VALUE!</v>
      </c>
      <c r="M45" s="48" t="b">
        <f t="shared" si="11"/>
        <v>0</v>
      </c>
      <c r="N45" s="49" t="e">
        <f t="shared" ref="N45:DJ45" si="62">IF(N$1&gt;$L$2,   "",   IF(N$1=$L$2,  1,  IF($L$2-N$1=$L$1-$M45, $L$3^($L$1-$M45), ($L$3*N46*O46/(N46+($L$3-1)*O46) ))))</f>
        <v>#DIV/0!</v>
      </c>
      <c r="O45" s="49" t="e">
        <f t="shared" si="62"/>
        <v>#DIV/0!</v>
      </c>
      <c r="P45" s="49" t="e">
        <f t="shared" si="62"/>
        <v>#DIV/0!</v>
      </c>
      <c r="Q45" s="49" t="e">
        <f t="shared" si="62"/>
        <v>#DIV/0!</v>
      </c>
      <c r="R45" s="49">
        <f t="shared" si="62"/>
        <v>1</v>
      </c>
      <c r="S45" s="49" t="str">
        <f t="shared" si="62"/>
        <v/>
      </c>
      <c r="T45" s="49" t="str">
        <f t="shared" si="62"/>
        <v/>
      </c>
      <c r="U45" s="49" t="str">
        <f t="shared" si="62"/>
        <v/>
      </c>
      <c r="V45" s="49" t="str">
        <f t="shared" si="62"/>
        <v/>
      </c>
      <c r="W45" s="49" t="str">
        <f t="shared" si="62"/>
        <v/>
      </c>
      <c r="X45" s="49" t="str">
        <f t="shared" si="62"/>
        <v/>
      </c>
      <c r="Y45" s="49" t="str">
        <f t="shared" si="62"/>
        <v/>
      </c>
      <c r="Z45" s="49" t="str">
        <f t="shared" si="62"/>
        <v/>
      </c>
      <c r="AA45" s="49" t="str">
        <f t="shared" si="62"/>
        <v/>
      </c>
      <c r="AB45" s="49" t="str">
        <f t="shared" si="62"/>
        <v/>
      </c>
      <c r="AC45" s="49" t="str">
        <f t="shared" si="62"/>
        <v/>
      </c>
      <c r="AD45" s="49" t="str">
        <f t="shared" si="62"/>
        <v/>
      </c>
      <c r="AE45" s="49" t="str">
        <f t="shared" si="62"/>
        <v/>
      </c>
      <c r="AF45" s="49" t="str">
        <f t="shared" si="62"/>
        <v/>
      </c>
      <c r="AG45" s="49" t="str">
        <f t="shared" si="62"/>
        <v/>
      </c>
      <c r="AH45" s="49" t="str">
        <f t="shared" si="62"/>
        <v/>
      </c>
      <c r="AI45" s="49" t="str">
        <f t="shared" si="62"/>
        <v/>
      </c>
      <c r="AJ45" s="49" t="str">
        <f t="shared" si="62"/>
        <v/>
      </c>
      <c r="AK45" s="49" t="str">
        <f t="shared" si="62"/>
        <v/>
      </c>
      <c r="AL45" s="49" t="str">
        <f t="shared" si="62"/>
        <v/>
      </c>
      <c r="AM45" s="49" t="str">
        <f t="shared" si="62"/>
        <v/>
      </c>
      <c r="AN45" s="49" t="str">
        <f t="shared" si="62"/>
        <v/>
      </c>
      <c r="AO45" s="49" t="str">
        <f t="shared" si="62"/>
        <v/>
      </c>
      <c r="AP45" s="49" t="str">
        <f t="shared" si="62"/>
        <v/>
      </c>
      <c r="AQ45" s="49" t="str">
        <f t="shared" si="62"/>
        <v/>
      </c>
      <c r="AR45" s="49" t="str">
        <f t="shared" si="62"/>
        <v/>
      </c>
      <c r="AS45" s="49" t="str">
        <f t="shared" si="62"/>
        <v/>
      </c>
      <c r="AT45" s="49" t="str">
        <f t="shared" si="62"/>
        <v/>
      </c>
      <c r="AU45" s="49" t="str">
        <f t="shared" si="62"/>
        <v/>
      </c>
      <c r="AV45" s="49" t="str">
        <f t="shared" si="62"/>
        <v/>
      </c>
      <c r="AW45" s="49" t="str">
        <f t="shared" si="62"/>
        <v/>
      </c>
      <c r="AX45" s="49" t="str">
        <f t="shared" si="62"/>
        <v/>
      </c>
      <c r="AY45" s="49" t="str">
        <f t="shared" si="62"/>
        <v/>
      </c>
      <c r="AZ45" s="49" t="str">
        <f t="shared" si="62"/>
        <v/>
      </c>
      <c r="BA45" s="49" t="str">
        <f t="shared" si="62"/>
        <v/>
      </c>
      <c r="BB45" s="49" t="str">
        <f t="shared" si="62"/>
        <v/>
      </c>
      <c r="BC45" s="49" t="str">
        <f t="shared" si="62"/>
        <v/>
      </c>
      <c r="BD45" s="49" t="str">
        <f t="shared" si="62"/>
        <v/>
      </c>
      <c r="BE45" s="49" t="str">
        <f t="shared" si="62"/>
        <v/>
      </c>
      <c r="BF45" s="49" t="str">
        <f t="shared" si="62"/>
        <v/>
      </c>
      <c r="BG45" s="49" t="str">
        <f t="shared" si="62"/>
        <v/>
      </c>
      <c r="BH45" s="49" t="str">
        <f t="shared" si="62"/>
        <v/>
      </c>
      <c r="BI45" s="49" t="str">
        <f t="shared" si="62"/>
        <v/>
      </c>
      <c r="BJ45" s="49" t="str">
        <f t="shared" si="62"/>
        <v/>
      </c>
      <c r="BK45" s="49" t="str">
        <f t="shared" si="62"/>
        <v/>
      </c>
      <c r="BL45" s="49" t="str">
        <f t="shared" si="62"/>
        <v/>
      </c>
      <c r="BM45" s="49" t="str">
        <f t="shared" si="62"/>
        <v/>
      </c>
      <c r="BN45" s="49" t="str">
        <f t="shared" si="62"/>
        <v/>
      </c>
      <c r="BO45" s="49" t="str">
        <f t="shared" si="62"/>
        <v/>
      </c>
      <c r="BP45" s="49" t="str">
        <f t="shared" si="62"/>
        <v/>
      </c>
      <c r="BQ45" s="49" t="str">
        <f t="shared" si="62"/>
        <v/>
      </c>
      <c r="BR45" s="49" t="str">
        <f t="shared" si="62"/>
        <v/>
      </c>
      <c r="BS45" s="49" t="str">
        <f t="shared" si="62"/>
        <v/>
      </c>
      <c r="BT45" s="49" t="str">
        <f t="shared" si="62"/>
        <v/>
      </c>
      <c r="BU45" s="49" t="str">
        <f t="shared" si="62"/>
        <v/>
      </c>
      <c r="BV45" s="49" t="str">
        <f t="shared" si="62"/>
        <v/>
      </c>
      <c r="BW45" s="49" t="str">
        <f t="shared" si="62"/>
        <v/>
      </c>
      <c r="BX45" s="49" t="str">
        <f t="shared" si="62"/>
        <v/>
      </c>
      <c r="BY45" s="49" t="str">
        <f t="shared" si="62"/>
        <v/>
      </c>
      <c r="BZ45" s="49" t="str">
        <f t="shared" si="62"/>
        <v/>
      </c>
      <c r="CA45" s="49" t="str">
        <f t="shared" si="62"/>
        <v/>
      </c>
      <c r="CB45" s="49" t="str">
        <f t="shared" si="62"/>
        <v/>
      </c>
      <c r="CC45" s="49" t="str">
        <f t="shared" si="62"/>
        <v/>
      </c>
      <c r="CD45" s="49" t="str">
        <f t="shared" si="62"/>
        <v/>
      </c>
      <c r="CE45" s="49" t="str">
        <f t="shared" si="62"/>
        <v/>
      </c>
      <c r="CF45" s="49" t="str">
        <f t="shared" si="62"/>
        <v/>
      </c>
      <c r="CG45" s="49" t="str">
        <f t="shared" si="62"/>
        <v/>
      </c>
      <c r="CH45" s="49" t="str">
        <f t="shared" si="62"/>
        <v/>
      </c>
      <c r="CI45" s="49" t="str">
        <f t="shared" si="62"/>
        <v/>
      </c>
      <c r="CJ45" s="49" t="str">
        <f t="shared" si="62"/>
        <v/>
      </c>
      <c r="CK45" s="49" t="str">
        <f t="shared" si="62"/>
        <v/>
      </c>
      <c r="CL45" s="49" t="str">
        <f t="shared" si="62"/>
        <v/>
      </c>
      <c r="CM45" s="49" t="str">
        <f t="shared" si="62"/>
        <v/>
      </c>
      <c r="CN45" s="49" t="str">
        <f t="shared" si="62"/>
        <v/>
      </c>
      <c r="CO45" s="49" t="str">
        <f t="shared" si="62"/>
        <v/>
      </c>
      <c r="CP45" s="49" t="str">
        <f t="shared" si="62"/>
        <v/>
      </c>
      <c r="CQ45" s="49" t="str">
        <f t="shared" si="62"/>
        <v/>
      </c>
      <c r="CR45" s="49" t="str">
        <f t="shared" si="62"/>
        <v/>
      </c>
      <c r="CS45" s="49" t="str">
        <f t="shared" si="62"/>
        <v/>
      </c>
      <c r="CT45" s="49" t="str">
        <f t="shared" si="62"/>
        <v/>
      </c>
      <c r="CU45" s="49" t="str">
        <f t="shared" si="62"/>
        <v/>
      </c>
      <c r="CV45" s="49" t="str">
        <f t="shared" si="62"/>
        <v/>
      </c>
      <c r="CW45" s="49" t="str">
        <f t="shared" si="62"/>
        <v/>
      </c>
      <c r="CX45" s="49" t="str">
        <f t="shared" si="62"/>
        <v/>
      </c>
      <c r="CY45" s="49" t="str">
        <f t="shared" si="62"/>
        <v/>
      </c>
      <c r="CZ45" s="49" t="str">
        <f t="shared" si="62"/>
        <v/>
      </c>
      <c r="DA45" s="49" t="str">
        <f t="shared" si="62"/>
        <v/>
      </c>
      <c r="DB45" s="49" t="str">
        <f t="shared" si="62"/>
        <v/>
      </c>
      <c r="DC45" s="49" t="str">
        <f t="shared" si="62"/>
        <v/>
      </c>
      <c r="DD45" s="49" t="str">
        <f t="shared" si="62"/>
        <v/>
      </c>
      <c r="DE45" s="49" t="str">
        <f t="shared" si="62"/>
        <v/>
      </c>
      <c r="DF45" s="49" t="str">
        <f t="shared" si="62"/>
        <v/>
      </c>
      <c r="DG45" s="49" t="str">
        <f t="shared" si="62"/>
        <v/>
      </c>
      <c r="DH45" s="49" t="str">
        <f t="shared" si="62"/>
        <v/>
      </c>
      <c r="DI45" s="49" t="str">
        <f t="shared" si="62"/>
        <v/>
      </c>
      <c r="DJ45" s="49" t="str">
        <f t="shared" si="62"/>
        <v/>
      </c>
    </row>
    <row r="46" spans="1:114" ht="15.75" customHeight="1" x14ac:dyDescent="0.55000000000000004">
      <c r="A46" s="41" t="e">
        <f>MASANIELLO!#REF!</f>
        <v>#REF!</v>
      </c>
      <c r="B46" s="41" t="e">
        <f t="shared" si="2"/>
        <v>#VALUE!</v>
      </c>
      <c r="C46" s="42" t="e">
        <f t="shared" si="3"/>
        <v>#VALUE!</v>
      </c>
      <c r="D46" s="42" t="e">
        <f t="shared" si="4"/>
        <v>#VALUE!</v>
      </c>
      <c r="E46" s="42" t="e">
        <f t="shared" si="5"/>
        <v>#VALUE!</v>
      </c>
      <c r="F46" s="42" t="e">
        <f t="shared" si="6"/>
        <v>#VALUE!</v>
      </c>
      <c r="G46" s="50" t="e">
        <f t="shared" si="7"/>
        <v>#VALUE!</v>
      </c>
      <c r="H46" s="41" t="e">
        <f t="shared" si="8"/>
        <v>#VALUE!</v>
      </c>
      <c r="I46" s="41" t="e">
        <f t="shared" si="9"/>
        <v>#VALUE!</v>
      </c>
      <c r="J46" s="45" t="e">
        <f t="shared" si="10"/>
        <v>#VALUE!</v>
      </c>
      <c r="M46" s="48" t="b">
        <f t="shared" si="11"/>
        <v>0</v>
      </c>
      <c r="N46" s="49" t="e">
        <f t="shared" ref="N46:DJ46" si="63">IF(N$1&gt;$L$2,   "",   IF(N$1=$L$2,  1,  IF($L$2-N$1=$L$1-$M46, $L$3^($L$1-$M46), ($L$3*N47*O47/(N47+($L$3-1)*O47) ))))</f>
        <v>#DIV/0!</v>
      </c>
      <c r="O46" s="49" t="e">
        <f t="shared" si="63"/>
        <v>#DIV/0!</v>
      </c>
      <c r="P46" s="49" t="e">
        <f t="shared" si="63"/>
        <v>#DIV/0!</v>
      </c>
      <c r="Q46" s="49" t="e">
        <f t="shared" si="63"/>
        <v>#DIV/0!</v>
      </c>
      <c r="R46" s="49">
        <f t="shared" si="63"/>
        <v>1</v>
      </c>
      <c r="S46" s="49" t="str">
        <f t="shared" si="63"/>
        <v/>
      </c>
      <c r="T46" s="49" t="str">
        <f t="shared" si="63"/>
        <v/>
      </c>
      <c r="U46" s="49" t="str">
        <f t="shared" si="63"/>
        <v/>
      </c>
      <c r="V46" s="49" t="str">
        <f t="shared" si="63"/>
        <v/>
      </c>
      <c r="W46" s="49" t="str">
        <f t="shared" si="63"/>
        <v/>
      </c>
      <c r="X46" s="49" t="str">
        <f t="shared" si="63"/>
        <v/>
      </c>
      <c r="Y46" s="49" t="str">
        <f t="shared" si="63"/>
        <v/>
      </c>
      <c r="Z46" s="49" t="str">
        <f t="shared" si="63"/>
        <v/>
      </c>
      <c r="AA46" s="49" t="str">
        <f t="shared" si="63"/>
        <v/>
      </c>
      <c r="AB46" s="49" t="str">
        <f t="shared" si="63"/>
        <v/>
      </c>
      <c r="AC46" s="49" t="str">
        <f t="shared" si="63"/>
        <v/>
      </c>
      <c r="AD46" s="49" t="str">
        <f t="shared" si="63"/>
        <v/>
      </c>
      <c r="AE46" s="49" t="str">
        <f t="shared" si="63"/>
        <v/>
      </c>
      <c r="AF46" s="49" t="str">
        <f t="shared" si="63"/>
        <v/>
      </c>
      <c r="AG46" s="49" t="str">
        <f t="shared" si="63"/>
        <v/>
      </c>
      <c r="AH46" s="49" t="str">
        <f t="shared" si="63"/>
        <v/>
      </c>
      <c r="AI46" s="49" t="str">
        <f t="shared" si="63"/>
        <v/>
      </c>
      <c r="AJ46" s="49" t="str">
        <f t="shared" si="63"/>
        <v/>
      </c>
      <c r="AK46" s="49" t="str">
        <f t="shared" si="63"/>
        <v/>
      </c>
      <c r="AL46" s="49" t="str">
        <f t="shared" si="63"/>
        <v/>
      </c>
      <c r="AM46" s="49" t="str">
        <f t="shared" si="63"/>
        <v/>
      </c>
      <c r="AN46" s="49" t="str">
        <f t="shared" si="63"/>
        <v/>
      </c>
      <c r="AO46" s="49" t="str">
        <f t="shared" si="63"/>
        <v/>
      </c>
      <c r="AP46" s="49" t="str">
        <f t="shared" si="63"/>
        <v/>
      </c>
      <c r="AQ46" s="49" t="str">
        <f t="shared" si="63"/>
        <v/>
      </c>
      <c r="AR46" s="49" t="str">
        <f t="shared" si="63"/>
        <v/>
      </c>
      <c r="AS46" s="49" t="str">
        <f t="shared" si="63"/>
        <v/>
      </c>
      <c r="AT46" s="49" t="str">
        <f t="shared" si="63"/>
        <v/>
      </c>
      <c r="AU46" s="49" t="str">
        <f t="shared" si="63"/>
        <v/>
      </c>
      <c r="AV46" s="49" t="str">
        <f t="shared" si="63"/>
        <v/>
      </c>
      <c r="AW46" s="49" t="str">
        <f t="shared" si="63"/>
        <v/>
      </c>
      <c r="AX46" s="49" t="str">
        <f t="shared" si="63"/>
        <v/>
      </c>
      <c r="AY46" s="49" t="str">
        <f t="shared" si="63"/>
        <v/>
      </c>
      <c r="AZ46" s="49" t="str">
        <f t="shared" si="63"/>
        <v/>
      </c>
      <c r="BA46" s="49" t="str">
        <f t="shared" si="63"/>
        <v/>
      </c>
      <c r="BB46" s="49" t="str">
        <f t="shared" si="63"/>
        <v/>
      </c>
      <c r="BC46" s="49" t="str">
        <f t="shared" si="63"/>
        <v/>
      </c>
      <c r="BD46" s="49" t="str">
        <f t="shared" si="63"/>
        <v/>
      </c>
      <c r="BE46" s="49" t="str">
        <f t="shared" si="63"/>
        <v/>
      </c>
      <c r="BF46" s="49" t="str">
        <f t="shared" si="63"/>
        <v/>
      </c>
      <c r="BG46" s="49" t="str">
        <f t="shared" si="63"/>
        <v/>
      </c>
      <c r="BH46" s="49" t="str">
        <f t="shared" si="63"/>
        <v/>
      </c>
      <c r="BI46" s="49" t="str">
        <f t="shared" si="63"/>
        <v/>
      </c>
      <c r="BJ46" s="49" t="str">
        <f t="shared" si="63"/>
        <v/>
      </c>
      <c r="BK46" s="49" t="str">
        <f t="shared" si="63"/>
        <v/>
      </c>
      <c r="BL46" s="49" t="str">
        <f t="shared" si="63"/>
        <v/>
      </c>
      <c r="BM46" s="49" t="str">
        <f t="shared" si="63"/>
        <v/>
      </c>
      <c r="BN46" s="49" t="str">
        <f t="shared" si="63"/>
        <v/>
      </c>
      <c r="BO46" s="49" t="str">
        <f t="shared" si="63"/>
        <v/>
      </c>
      <c r="BP46" s="49" t="str">
        <f t="shared" si="63"/>
        <v/>
      </c>
      <c r="BQ46" s="49" t="str">
        <f t="shared" si="63"/>
        <v/>
      </c>
      <c r="BR46" s="49" t="str">
        <f t="shared" si="63"/>
        <v/>
      </c>
      <c r="BS46" s="49" t="str">
        <f t="shared" si="63"/>
        <v/>
      </c>
      <c r="BT46" s="49" t="str">
        <f t="shared" si="63"/>
        <v/>
      </c>
      <c r="BU46" s="49" t="str">
        <f t="shared" si="63"/>
        <v/>
      </c>
      <c r="BV46" s="49" t="str">
        <f t="shared" si="63"/>
        <v/>
      </c>
      <c r="BW46" s="49" t="str">
        <f t="shared" si="63"/>
        <v/>
      </c>
      <c r="BX46" s="49" t="str">
        <f t="shared" si="63"/>
        <v/>
      </c>
      <c r="BY46" s="49" t="str">
        <f t="shared" si="63"/>
        <v/>
      </c>
      <c r="BZ46" s="49" t="str">
        <f t="shared" si="63"/>
        <v/>
      </c>
      <c r="CA46" s="49" t="str">
        <f t="shared" si="63"/>
        <v/>
      </c>
      <c r="CB46" s="49" t="str">
        <f t="shared" si="63"/>
        <v/>
      </c>
      <c r="CC46" s="49" t="str">
        <f t="shared" si="63"/>
        <v/>
      </c>
      <c r="CD46" s="49" t="str">
        <f t="shared" si="63"/>
        <v/>
      </c>
      <c r="CE46" s="49" t="str">
        <f t="shared" si="63"/>
        <v/>
      </c>
      <c r="CF46" s="49" t="str">
        <f t="shared" si="63"/>
        <v/>
      </c>
      <c r="CG46" s="49" t="str">
        <f t="shared" si="63"/>
        <v/>
      </c>
      <c r="CH46" s="49" t="str">
        <f t="shared" si="63"/>
        <v/>
      </c>
      <c r="CI46" s="49" t="str">
        <f t="shared" si="63"/>
        <v/>
      </c>
      <c r="CJ46" s="49" t="str">
        <f t="shared" si="63"/>
        <v/>
      </c>
      <c r="CK46" s="49" t="str">
        <f t="shared" si="63"/>
        <v/>
      </c>
      <c r="CL46" s="49" t="str">
        <f t="shared" si="63"/>
        <v/>
      </c>
      <c r="CM46" s="49" t="str">
        <f t="shared" si="63"/>
        <v/>
      </c>
      <c r="CN46" s="49" t="str">
        <f t="shared" si="63"/>
        <v/>
      </c>
      <c r="CO46" s="49" t="str">
        <f t="shared" si="63"/>
        <v/>
      </c>
      <c r="CP46" s="49" t="str">
        <f t="shared" si="63"/>
        <v/>
      </c>
      <c r="CQ46" s="49" t="str">
        <f t="shared" si="63"/>
        <v/>
      </c>
      <c r="CR46" s="49" t="str">
        <f t="shared" si="63"/>
        <v/>
      </c>
      <c r="CS46" s="49" t="str">
        <f t="shared" si="63"/>
        <v/>
      </c>
      <c r="CT46" s="49" t="str">
        <f t="shared" si="63"/>
        <v/>
      </c>
      <c r="CU46" s="49" t="str">
        <f t="shared" si="63"/>
        <v/>
      </c>
      <c r="CV46" s="49" t="str">
        <f t="shared" si="63"/>
        <v/>
      </c>
      <c r="CW46" s="49" t="str">
        <f t="shared" si="63"/>
        <v/>
      </c>
      <c r="CX46" s="49" t="str">
        <f t="shared" si="63"/>
        <v/>
      </c>
      <c r="CY46" s="49" t="str">
        <f t="shared" si="63"/>
        <v/>
      </c>
      <c r="CZ46" s="49" t="str">
        <f t="shared" si="63"/>
        <v/>
      </c>
      <c r="DA46" s="49" t="str">
        <f t="shared" si="63"/>
        <v/>
      </c>
      <c r="DB46" s="49" t="str">
        <f t="shared" si="63"/>
        <v/>
      </c>
      <c r="DC46" s="49" t="str">
        <f t="shared" si="63"/>
        <v/>
      </c>
      <c r="DD46" s="49" t="str">
        <f t="shared" si="63"/>
        <v/>
      </c>
      <c r="DE46" s="49" t="str">
        <f t="shared" si="63"/>
        <v/>
      </c>
      <c r="DF46" s="49" t="str">
        <f t="shared" si="63"/>
        <v/>
      </c>
      <c r="DG46" s="49" t="str">
        <f t="shared" si="63"/>
        <v/>
      </c>
      <c r="DH46" s="49" t="str">
        <f t="shared" si="63"/>
        <v/>
      </c>
      <c r="DI46" s="49" t="str">
        <f t="shared" si="63"/>
        <v/>
      </c>
      <c r="DJ46" s="49" t="str">
        <f t="shared" si="63"/>
        <v/>
      </c>
    </row>
    <row r="47" spans="1:114" ht="15.75" customHeight="1" x14ac:dyDescent="0.55000000000000004">
      <c r="A47" s="41" t="e">
        <f>MASANIELLO!#REF!</f>
        <v>#REF!</v>
      </c>
      <c r="B47" s="41" t="e">
        <f t="shared" si="2"/>
        <v>#VALUE!</v>
      </c>
      <c r="C47" s="42" t="e">
        <f t="shared" si="3"/>
        <v>#VALUE!</v>
      </c>
      <c r="D47" s="42" t="e">
        <f t="shared" si="4"/>
        <v>#VALUE!</v>
      </c>
      <c r="E47" s="42" t="e">
        <f t="shared" si="5"/>
        <v>#VALUE!</v>
      </c>
      <c r="F47" s="42" t="e">
        <f t="shared" si="6"/>
        <v>#VALUE!</v>
      </c>
      <c r="G47" s="50" t="e">
        <f t="shared" si="7"/>
        <v>#VALUE!</v>
      </c>
      <c r="H47" s="41" t="e">
        <f t="shared" si="8"/>
        <v>#VALUE!</v>
      </c>
      <c r="I47" s="41" t="e">
        <f t="shared" si="9"/>
        <v>#VALUE!</v>
      </c>
      <c r="J47" s="45" t="e">
        <f t="shared" si="10"/>
        <v>#VALUE!</v>
      </c>
      <c r="M47" s="48" t="b">
        <f t="shared" si="11"/>
        <v>0</v>
      </c>
      <c r="N47" s="49" t="e">
        <f t="shared" ref="N47:DJ47" si="64">IF(N$1&gt;$L$2,   "",   IF(N$1=$L$2,  1,  IF($L$2-N$1=$L$1-$M47, $L$3^($L$1-$M47), ($L$3*N48*O48/(N48+($L$3-1)*O48) ))))</f>
        <v>#DIV/0!</v>
      </c>
      <c r="O47" s="49" t="e">
        <f t="shared" si="64"/>
        <v>#DIV/0!</v>
      </c>
      <c r="P47" s="49" t="e">
        <f t="shared" si="64"/>
        <v>#DIV/0!</v>
      </c>
      <c r="Q47" s="49" t="e">
        <f t="shared" si="64"/>
        <v>#DIV/0!</v>
      </c>
      <c r="R47" s="49">
        <f t="shared" si="64"/>
        <v>1</v>
      </c>
      <c r="S47" s="49" t="str">
        <f t="shared" si="64"/>
        <v/>
      </c>
      <c r="T47" s="49" t="str">
        <f t="shared" si="64"/>
        <v/>
      </c>
      <c r="U47" s="49" t="str">
        <f t="shared" si="64"/>
        <v/>
      </c>
      <c r="V47" s="49" t="str">
        <f t="shared" si="64"/>
        <v/>
      </c>
      <c r="W47" s="49" t="str">
        <f t="shared" si="64"/>
        <v/>
      </c>
      <c r="X47" s="49" t="str">
        <f t="shared" si="64"/>
        <v/>
      </c>
      <c r="Y47" s="49" t="str">
        <f t="shared" si="64"/>
        <v/>
      </c>
      <c r="Z47" s="49" t="str">
        <f t="shared" si="64"/>
        <v/>
      </c>
      <c r="AA47" s="49" t="str">
        <f t="shared" si="64"/>
        <v/>
      </c>
      <c r="AB47" s="49" t="str">
        <f t="shared" si="64"/>
        <v/>
      </c>
      <c r="AC47" s="49" t="str">
        <f t="shared" si="64"/>
        <v/>
      </c>
      <c r="AD47" s="49" t="str">
        <f t="shared" si="64"/>
        <v/>
      </c>
      <c r="AE47" s="49" t="str">
        <f t="shared" si="64"/>
        <v/>
      </c>
      <c r="AF47" s="49" t="str">
        <f t="shared" si="64"/>
        <v/>
      </c>
      <c r="AG47" s="49" t="str">
        <f t="shared" si="64"/>
        <v/>
      </c>
      <c r="AH47" s="49" t="str">
        <f t="shared" si="64"/>
        <v/>
      </c>
      <c r="AI47" s="49" t="str">
        <f t="shared" si="64"/>
        <v/>
      </c>
      <c r="AJ47" s="49" t="str">
        <f t="shared" si="64"/>
        <v/>
      </c>
      <c r="AK47" s="49" t="str">
        <f t="shared" si="64"/>
        <v/>
      </c>
      <c r="AL47" s="49" t="str">
        <f t="shared" si="64"/>
        <v/>
      </c>
      <c r="AM47" s="49" t="str">
        <f t="shared" si="64"/>
        <v/>
      </c>
      <c r="AN47" s="49" t="str">
        <f t="shared" si="64"/>
        <v/>
      </c>
      <c r="AO47" s="49" t="str">
        <f t="shared" si="64"/>
        <v/>
      </c>
      <c r="AP47" s="49" t="str">
        <f t="shared" si="64"/>
        <v/>
      </c>
      <c r="AQ47" s="49" t="str">
        <f t="shared" si="64"/>
        <v/>
      </c>
      <c r="AR47" s="49" t="str">
        <f t="shared" si="64"/>
        <v/>
      </c>
      <c r="AS47" s="49" t="str">
        <f t="shared" si="64"/>
        <v/>
      </c>
      <c r="AT47" s="49" t="str">
        <f t="shared" si="64"/>
        <v/>
      </c>
      <c r="AU47" s="49" t="str">
        <f t="shared" si="64"/>
        <v/>
      </c>
      <c r="AV47" s="49" t="str">
        <f t="shared" si="64"/>
        <v/>
      </c>
      <c r="AW47" s="49" t="str">
        <f t="shared" si="64"/>
        <v/>
      </c>
      <c r="AX47" s="49" t="str">
        <f t="shared" si="64"/>
        <v/>
      </c>
      <c r="AY47" s="49" t="str">
        <f t="shared" si="64"/>
        <v/>
      </c>
      <c r="AZ47" s="49" t="str">
        <f t="shared" si="64"/>
        <v/>
      </c>
      <c r="BA47" s="49" t="str">
        <f t="shared" si="64"/>
        <v/>
      </c>
      <c r="BB47" s="49" t="str">
        <f t="shared" si="64"/>
        <v/>
      </c>
      <c r="BC47" s="49" t="str">
        <f t="shared" si="64"/>
        <v/>
      </c>
      <c r="BD47" s="49" t="str">
        <f t="shared" si="64"/>
        <v/>
      </c>
      <c r="BE47" s="49" t="str">
        <f t="shared" si="64"/>
        <v/>
      </c>
      <c r="BF47" s="49" t="str">
        <f t="shared" si="64"/>
        <v/>
      </c>
      <c r="BG47" s="49" t="str">
        <f t="shared" si="64"/>
        <v/>
      </c>
      <c r="BH47" s="49" t="str">
        <f t="shared" si="64"/>
        <v/>
      </c>
      <c r="BI47" s="49" t="str">
        <f t="shared" si="64"/>
        <v/>
      </c>
      <c r="BJ47" s="49" t="str">
        <f t="shared" si="64"/>
        <v/>
      </c>
      <c r="BK47" s="49" t="str">
        <f t="shared" si="64"/>
        <v/>
      </c>
      <c r="BL47" s="49" t="str">
        <f t="shared" si="64"/>
        <v/>
      </c>
      <c r="BM47" s="49" t="str">
        <f t="shared" si="64"/>
        <v/>
      </c>
      <c r="BN47" s="49" t="str">
        <f t="shared" si="64"/>
        <v/>
      </c>
      <c r="BO47" s="49" t="str">
        <f t="shared" si="64"/>
        <v/>
      </c>
      <c r="BP47" s="49" t="str">
        <f t="shared" si="64"/>
        <v/>
      </c>
      <c r="BQ47" s="49" t="str">
        <f t="shared" si="64"/>
        <v/>
      </c>
      <c r="BR47" s="49" t="str">
        <f t="shared" si="64"/>
        <v/>
      </c>
      <c r="BS47" s="49" t="str">
        <f t="shared" si="64"/>
        <v/>
      </c>
      <c r="BT47" s="49" t="str">
        <f t="shared" si="64"/>
        <v/>
      </c>
      <c r="BU47" s="49" t="str">
        <f t="shared" si="64"/>
        <v/>
      </c>
      <c r="BV47" s="49" t="str">
        <f t="shared" si="64"/>
        <v/>
      </c>
      <c r="BW47" s="49" t="str">
        <f t="shared" si="64"/>
        <v/>
      </c>
      <c r="BX47" s="49" t="str">
        <f t="shared" si="64"/>
        <v/>
      </c>
      <c r="BY47" s="49" t="str">
        <f t="shared" si="64"/>
        <v/>
      </c>
      <c r="BZ47" s="49" t="str">
        <f t="shared" si="64"/>
        <v/>
      </c>
      <c r="CA47" s="49" t="str">
        <f t="shared" si="64"/>
        <v/>
      </c>
      <c r="CB47" s="49" t="str">
        <f t="shared" si="64"/>
        <v/>
      </c>
      <c r="CC47" s="49" t="str">
        <f t="shared" si="64"/>
        <v/>
      </c>
      <c r="CD47" s="49" t="str">
        <f t="shared" si="64"/>
        <v/>
      </c>
      <c r="CE47" s="49" t="str">
        <f t="shared" si="64"/>
        <v/>
      </c>
      <c r="CF47" s="49" t="str">
        <f t="shared" si="64"/>
        <v/>
      </c>
      <c r="CG47" s="49" t="str">
        <f t="shared" si="64"/>
        <v/>
      </c>
      <c r="CH47" s="49" t="str">
        <f t="shared" si="64"/>
        <v/>
      </c>
      <c r="CI47" s="49" t="str">
        <f t="shared" si="64"/>
        <v/>
      </c>
      <c r="CJ47" s="49" t="str">
        <f t="shared" si="64"/>
        <v/>
      </c>
      <c r="CK47" s="49" t="str">
        <f t="shared" si="64"/>
        <v/>
      </c>
      <c r="CL47" s="49" t="str">
        <f t="shared" si="64"/>
        <v/>
      </c>
      <c r="CM47" s="49" t="str">
        <f t="shared" si="64"/>
        <v/>
      </c>
      <c r="CN47" s="49" t="str">
        <f t="shared" si="64"/>
        <v/>
      </c>
      <c r="CO47" s="49" t="str">
        <f t="shared" si="64"/>
        <v/>
      </c>
      <c r="CP47" s="49" t="str">
        <f t="shared" si="64"/>
        <v/>
      </c>
      <c r="CQ47" s="49" t="str">
        <f t="shared" si="64"/>
        <v/>
      </c>
      <c r="CR47" s="49" t="str">
        <f t="shared" si="64"/>
        <v/>
      </c>
      <c r="CS47" s="49" t="str">
        <f t="shared" si="64"/>
        <v/>
      </c>
      <c r="CT47" s="49" t="str">
        <f t="shared" si="64"/>
        <v/>
      </c>
      <c r="CU47" s="49" t="str">
        <f t="shared" si="64"/>
        <v/>
      </c>
      <c r="CV47" s="49" t="str">
        <f t="shared" si="64"/>
        <v/>
      </c>
      <c r="CW47" s="49" t="str">
        <f t="shared" si="64"/>
        <v/>
      </c>
      <c r="CX47" s="49" t="str">
        <f t="shared" si="64"/>
        <v/>
      </c>
      <c r="CY47" s="49" t="str">
        <f t="shared" si="64"/>
        <v/>
      </c>
      <c r="CZ47" s="49" t="str">
        <f t="shared" si="64"/>
        <v/>
      </c>
      <c r="DA47" s="49" t="str">
        <f t="shared" si="64"/>
        <v/>
      </c>
      <c r="DB47" s="49" t="str">
        <f t="shared" si="64"/>
        <v/>
      </c>
      <c r="DC47" s="49" t="str">
        <f t="shared" si="64"/>
        <v/>
      </c>
      <c r="DD47" s="49" t="str">
        <f t="shared" si="64"/>
        <v/>
      </c>
      <c r="DE47" s="49" t="str">
        <f t="shared" si="64"/>
        <v/>
      </c>
      <c r="DF47" s="49" t="str">
        <f t="shared" si="64"/>
        <v/>
      </c>
      <c r="DG47" s="49" t="str">
        <f t="shared" si="64"/>
        <v/>
      </c>
      <c r="DH47" s="49" t="str">
        <f t="shared" si="64"/>
        <v/>
      </c>
      <c r="DI47" s="49" t="str">
        <f t="shared" si="64"/>
        <v/>
      </c>
      <c r="DJ47" s="49" t="str">
        <f t="shared" si="64"/>
        <v/>
      </c>
    </row>
    <row r="48" spans="1:114" ht="15.75" customHeight="1" x14ac:dyDescent="0.55000000000000004">
      <c r="A48" s="41" t="e">
        <f>MASANIELLO!#REF!</f>
        <v>#REF!</v>
      </c>
      <c r="B48" s="41" t="e">
        <f t="shared" si="2"/>
        <v>#VALUE!</v>
      </c>
      <c r="C48" s="42" t="e">
        <f t="shared" si="3"/>
        <v>#VALUE!</v>
      </c>
      <c r="D48" s="42" t="e">
        <f t="shared" si="4"/>
        <v>#VALUE!</v>
      </c>
      <c r="E48" s="42" t="e">
        <f t="shared" si="5"/>
        <v>#VALUE!</v>
      </c>
      <c r="F48" s="42" t="e">
        <f t="shared" si="6"/>
        <v>#VALUE!</v>
      </c>
      <c r="G48" s="50" t="e">
        <f t="shared" si="7"/>
        <v>#VALUE!</v>
      </c>
      <c r="H48" s="41" t="e">
        <f t="shared" si="8"/>
        <v>#VALUE!</v>
      </c>
      <c r="I48" s="41" t="e">
        <f t="shared" si="9"/>
        <v>#VALUE!</v>
      </c>
      <c r="J48" s="45" t="e">
        <f t="shared" si="10"/>
        <v>#VALUE!</v>
      </c>
      <c r="M48" s="48" t="b">
        <f t="shared" si="11"/>
        <v>0</v>
      </c>
      <c r="N48" s="49" t="e">
        <f t="shared" ref="N48:DJ48" si="65">IF(N$1&gt;$L$2,   "",   IF(N$1=$L$2,  1,  IF($L$2-N$1=$L$1-$M48, $L$3^($L$1-$M48), ($L$3*N49*O49/(N49+($L$3-1)*O49) ))))</f>
        <v>#DIV/0!</v>
      </c>
      <c r="O48" s="49" t="e">
        <f t="shared" si="65"/>
        <v>#DIV/0!</v>
      </c>
      <c r="P48" s="49" t="e">
        <f t="shared" si="65"/>
        <v>#DIV/0!</v>
      </c>
      <c r="Q48" s="49" t="e">
        <f t="shared" si="65"/>
        <v>#DIV/0!</v>
      </c>
      <c r="R48" s="49">
        <f t="shared" si="65"/>
        <v>1</v>
      </c>
      <c r="S48" s="49" t="str">
        <f t="shared" si="65"/>
        <v/>
      </c>
      <c r="T48" s="49" t="str">
        <f t="shared" si="65"/>
        <v/>
      </c>
      <c r="U48" s="49" t="str">
        <f t="shared" si="65"/>
        <v/>
      </c>
      <c r="V48" s="49" t="str">
        <f t="shared" si="65"/>
        <v/>
      </c>
      <c r="W48" s="49" t="str">
        <f t="shared" si="65"/>
        <v/>
      </c>
      <c r="X48" s="49" t="str">
        <f t="shared" si="65"/>
        <v/>
      </c>
      <c r="Y48" s="49" t="str">
        <f t="shared" si="65"/>
        <v/>
      </c>
      <c r="Z48" s="49" t="str">
        <f t="shared" si="65"/>
        <v/>
      </c>
      <c r="AA48" s="49" t="str">
        <f t="shared" si="65"/>
        <v/>
      </c>
      <c r="AB48" s="49" t="str">
        <f t="shared" si="65"/>
        <v/>
      </c>
      <c r="AC48" s="49" t="str">
        <f t="shared" si="65"/>
        <v/>
      </c>
      <c r="AD48" s="49" t="str">
        <f t="shared" si="65"/>
        <v/>
      </c>
      <c r="AE48" s="49" t="str">
        <f t="shared" si="65"/>
        <v/>
      </c>
      <c r="AF48" s="49" t="str">
        <f t="shared" si="65"/>
        <v/>
      </c>
      <c r="AG48" s="49" t="str">
        <f t="shared" si="65"/>
        <v/>
      </c>
      <c r="AH48" s="49" t="str">
        <f t="shared" si="65"/>
        <v/>
      </c>
      <c r="AI48" s="49" t="str">
        <f t="shared" si="65"/>
        <v/>
      </c>
      <c r="AJ48" s="49" t="str">
        <f t="shared" si="65"/>
        <v/>
      </c>
      <c r="AK48" s="49" t="str">
        <f t="shared" si="65"/>
        <v/>
      </c>
      <c r="AL48" s="49" t="str">
        <f t="shared" si="65"/>
        <v/>
      </c>
      <c r="AM48" s="49" t="str">
        <f t="shared" si="65"/>
        <v/>
      </c>
      <c r="AN48" s="49" t="str">
        <f t="shared" si="65"/>
        <v/>
      </c>
      <c r="AO48" s="49" t="str">
        <f t="shared" si="65"/>
        <v/>
      </c>
      <c r="AP48" s="49" t="str">
        <f t="shared" si="65"/>
        <v/>
      </c>
      <c r="AQ48" s="49" t="str">
        <f t="shared" si="65"/>
        <v/>
      </c>
      <c r="AR48" s="49" t="str">
        <f t="shared" si="65"/>
        <v/>
      </c>
      <c r="AS48" s="49" t="str">
        <f t="shared" si="65"/>
        <v/>
      </c>
      <c r="AT48" s="49" t="str">
        <f t="shared" si="65"/>
        <v/>
      </c>
      <c r="AU48" s="49" t="str">
        <f t="shared" si="65"/>
        <v/>
      </c>
      <c r="AV48" s="49" t="str">
        <f t="shared" si="65"/>
        <v/>
      </c>
      <c r="AW48" s="49" t="str">
        <f t="shared" si="65"/>
        <v/>
      </c>
      <c r="AX48" s="49" t="str">
        <f t="shared" si="65"/>
        <v/>
      </c>
      <c r="AY48" s="49" t="str">
        <f t="shared" si="65"/>
        <v/>
      </c>
      <c r="AZ48" s="49" t="str">
        <f t="shared" si="65"/>
        <v/>
      </c>
      <c r="BA48" s="49" t="str">
        <f t="shared" si="65"/>
        <v/>
      </c>
      <c r="BB48" s="49" t="str">
        <f t="shared" si="65"/>
        <v/>
      </c>
      <c r="BC48" s="49" t="str">
        <f t="shared" si="65"/>
        <v/>
      </c>
      <c r="BD48" s="49" t="str">
        <f t="shared" si="65"/>
        <v/>
      </c>
      <c r="BE48" s="49" t="str">
        <f t="shared" si="65"/>
        <v/>
      </c>
      <c r="BF48" s="49" t="str">
        <f t="shared" si="65"/>
        <v/>
      </c>
      <c r="BG48" s="49" t="str">
        <f t="shared" si="65"/>
        <v/>
      </c>
      <c r="BH48" s="49" t="str">
        <f t="shared" si="65"/>
        <v/>
      </c>
      <c r="BI48" s="49" t="str">
        <f t="shared" si="65"/>
        <v/>
      </c>
      <c r="BJ48" s="49" t="str">
        <f t="shared" si="65"/>
        <v/>
      </c>
      <c r="BK48" s="49" t="str">
        <f t="shared" si="65"/>
        <v/>
      </c>
      <c r="BL48" s="49" t="str">
        <f t="shared" si="65"/>
        <v/>
      </c>
      <c r="BM48" s="49" t="str">
        <f t="shared" si="65"/>
        <v/>
      </c>
      <c r="BN48" s="49" t="str">
        <f t="shared" si="65"/>
        <v/>
      </c>
      <c r="BO48" s="49" t="str">
        <f t="shared" si="65"/>
        <v/>
      </c>
      <c r="BP48" s="49" t="str">
        <f t="shared" si="65"/>
        <v/>
      </c>
      <c r="BQ48" s="49" t="str">
        <f t="shared" si="65"/>
        <v/>
      </c>
      <c r="BR48" s="49" t="str">
        <f t="shared" si="65"/>
        <v/>
      </c>
      <c r="BS48" s="49" t="str">
        <f t="shared" si="65"/>
        <v/>
      </c>
      <c r="BT48" s="49" t="str">
        <f t="shared" si="65"/>
        <v/>
      </c>
      <c r="BU48" s="49" t="str">
        <f t="shared" si="65"/>
        <v/>
      </c>
      <c r="BV48" s="49" t="str">
        <f t="shared" si="65"/>
        <v/>
      </c>
      <c r="BW48" s="49" t="str">
        <f t="shared" si="65"/>
        <v/>
      </c>
      <c r="BX48" s="49" t="str">
        <f t="shared" si="65"/>
        <v/>
      </c>
      <c r="BY48" s="49" t="str">
        <f t="shared" si="65"/>
        <v/>
      </c>
      <c r="BZ48" s="49" t="str">
        <f t="shared" si="65"/>
        <v/>
      </c>
      <c r="CA48" s="49" t="str">
        <f t="shared" si="65"/>
        <v/>
      </c>
      <c r="CB48" s="49" t="str">
        <f t="shared" si="65"/>
        <v/>
      </c>
      <c r="CC48" s="49" t="str">
        <f t="shared" si="65"/>
        <v/>
      </c>
      <c r="CD48" s="49" t="str">
        <f t="shared" si="65"/>
        <v/>
      </c>
      <c r="CE48" s="49" t="str">
        <f t="shared" si="65"/>
        <v/>
      </c>
      <c r="CF48" s="49" t="str">
        <f t="shared" si="65"/>
        <v/>
      </c>
      <c r="CG48" s="49" t="str">
        <f t="shared" si="65"/>
        <v/>
      </c>
      <c r="CH48" s="49" t="str">
        <f t="shared" si="65"/>
        <v/>
      </c>
      <c r="CI48" s="49" t="str">
        <f t="shared" si="65"/>
        <v/>
      </c>
      <c r="CJ48" s="49" t="str">
        <f t="shared" si="65"/>
        <v/>
      </c>
      <c r="CK48" s="49" t="str">
        <f t="shared" si="65"/>
        <v/>
      </c>
      <c r="CL48" s="49" t="str">
        <f t="shared" si="65"/>
        <v/>
      </c>
      <c r="CM48" s="49" t="str">
        <f t="shared" si="65"/>
        <v/>
      </c>
      <c r="CN48" s="49" t="str">
        <f t="shared" si="65"/>
        <v/>
      </c>
      <c r="CO48" s="49" t="str">
        <f t="shared" si="65"/>
        <v/>
      </c>
      <c r="CP48" s="49" t="str">
        <f t="shared" si="65"/>
        <v/>
      </c>
      <c r="CQ48" s="49" t="str">
        <f t="shared" si="65"/>
        <v/>
      </c>
      <c r="CR48" s="49" t="str">
        <f t="shared" si="65"/>
        <v/>
      </c>
      <c r="CS48" s="49" t="str">
        <f t="shared" si="65"/>
        <v/>
      </c>
      <c r="CT48" s="49" t="str">
        <f t="shared" si="65"/>
        <v/>
      </c>
      <c r="CU48" s="49" t="str">
        <f t="shared" si="65"/>
        <v/>
      </c>
      <c r="CV48" s="49" t="str">
        <f t="shared" si="65"/>
        <v/>
      </c>
      <c r="CW48" s="49" t="str">
        <f t="shared" si="65"/>
        <v/>
      </c>
      <c r="CX48" s="49" t="str">
        <f t="shared" si="65"/>
        <v/>
      </c>
      <c r="CY48" s="49" t="str">
        <f t="shared" si="65"/>
        <v/>
      </c>
      <c r="CZ48" s="49" t="str">
        <f t="shared" si="65"/>
        <v/>
      </c>
      <c r="DA48" s="49" t="str">
        <f t="shared" si="65"/>
        <v/>
      </c>
      <c r="DB48" s="49" t="str">
        <f t="shared" si="65"/>
        <v/>
      </c>
      <c r="DC48" s="49" t="str">
        <f t="shared" si="65"/>
        <v/>
      </c>
      <c r="DD48" s="49" t="str">
        <f t="shared" si="65"/>
        <v/>
      </c>
      <c r="DE48" s="49" t="str">
        <f t="shared" si="65"/>
        <v/>
      </c>
      <c r="DF48" s="49" t="str">
        <f t="shared" si="65"/>
        <v/>
      </c>
      <c r="DG48" s="49" t="str">
        <f t="shared" si="65"/>
        <v/>
      </c>
      <c r="DH48" s="49" t="str">
        <f t="shared" si="65"/>
        <v/>
      </c>
      <c r="DI48" s="49" t="str">
        <f t="shared" si="65"/>
        <v/>
      </c>
      <c r="DJ48" s="49" t="str">
        <f t="shared" si="65"/>
        <v/>
      </c>
    </row>
    <row r="49" spans="1:114" ht="15.75" customHeight="1" x14ac:dyDescent="0.55000000000000004">
      <c r="A49" s="41" t="e">
        <f>MASANIELLO!#REF!</f>
        <v>#REF!</v>
      </c>
      <c r="B49" s="41" t="e">
        <f t="shared" si="2"/>
        <v>#VALUE!</v>
      </c>
      <c r="C49" s="42" t="e">
        <f t="shared" si="3"/>
        <v>#VALUE!</v>
      </c>
      <c r="D49" s="42" t="e">
        <f t="shared" si="4"/>
        <v>#VALUE!</v>
      </c>
      <c r="E49" s="42" t="e">
        <f t="shared" si="5"/>
        <v>#VALUE!</v>
      </c>
      <c r="F49" s="42" t="e">
        <f t="shared" si="6"/>
        <v>#VALUE!</v>
      </c>
      <c r="G49" s="50" t="e">
        <f t="shared" si="7"/>
        <v>#VALUE!</v>
      </c>
      <c r="H49" s="41" t="e">
        <f t="shared" si="8"/>
        <v>#VALUE!</v>
      </c>
      <c r="I49" s="41" t="e">
        <f t="shared" si="9"/>
        <v>#VALUE!</v>
      </c>
      <c r="J49" s="45" t="e">
        <f t="shared" si="10"/>
        <v>#VALUE!</v>
      </c>
      <c r="M49" s="48" t="b">
        <f t="shared" si="11"/>
        <v>0</v>
      </c>
      <c r="N49" s="49" t="e">
        <f t="shared" ref="N49:DJ49" si="66">IF(N$1&gt;$L$2,   "",   IF(N$1=$L$2,  1,  IF($L$2-N$1=$L$1-$M49, $L$3^($L$1-$M49), ($L$3*N50*O50/(N50+($L$3-1)*O50) ))))</f>
        <v>#DIV/0!</v>
      </c>
      <c r="O49" s="49" t="e">
        <f t="shared" si="66"/>
        <v>#DIV/0!</v>
      </c>
      <c r="P49" s="49" t="e">
        <f t="shared" si="66"/>
        <v>#DIV/0!</v>
      </c>
      <c r="Q49" s="49" t="e">
        <f t="shared" si="66"/>
        <v>#DIV/0!</v>
      </c>
      <c r="R49" s="49">
        <f t="shared" si="66"/>
        <v>1</v>
      </c>
      <c r="S49" s="49" t="str">
        <f t="shared" si="66"/>
        <v/>
      </c>
      <c r="T49" s="49" t="str">
        <f t="shared" si="66"/>
        <v/>
      </c>
      <c r="U49" s="49" t="str">
        <f t="shared" si="66"/>
        <v/>
      </c>
      <c r="V49" s="49" t="str">
        <f t="shared" si="66"/>
        <v/>
      </c>
      <c r="W49" s="49" t="str">
        <f t="shared" si="66"/>
        <v/>
      </c>
      <c r="X49" s="49" t="str">
        <f t="shared" si="66"/>
        <v/>
      </c>
      <c r="Y49" s="49" t="str">
        <f t="shared" si="66"/>
        <v/>
      </c>
      <c r="Z49" s="49" t="str">
        <f t="shared" si="66"/>
        <v/>
      </c>
      <c r="AA49" s="49" t="str">
        <f t="shared" si="66"/>
        <v/>
      </c>
      <c r="AB49" s="49" t="str">
        <f t="shared" si="66"/>
        <v/>
      </c>
      <c r="AC49" s="49" t="str">
        <f t="shared" si="66"/>
        <v/>
      </c>
      <c r="AD49" s="49" t="str">
        <f t="shared" si="66"/>
        <v/>
      </c>
      <c r="AE49" s="49" t="str">
        <f t="shared" si="66"/>
        <v/>
      </c>
      <c r="AF49" s="49" t="str">
        <f t="shared" si="66"/>
        <v/>
      </c>
      <c r="AG49" s="49" t="str">
        <f t="shared" si="66"/>
        <v/>
      </c>
      <c r="AH49" s="49" t="str">
        <f t="shared" si="66"/>
        <v/>
      </c>
      <c r="AI49" s="49" t="str">
        <f t="shared" si="66"/>
        <v/>
      </c>
      <c r="AJ49" s="49" t="str">
        <f t="shared" si="66"/>
        <v/>
      </c>
      <c r="AK49" s="49" t="str">
        <f t="shared" si="66"/>
        <v/>
      </c>
      <c r="AL49" s="49" t="str">
        <f t="shared" si="66"/>
        <v/>
      </c>
      <c r="AM49" s="49" t="str">
        <f t="shared" si="66"/>
        <v/>
      </c>
      <c r="AN49" s="49" t="str">
        <f t="shared" si="66"/>
        <v/>
      </c>
      <c r="AO49" s="49" t="str">
        <f t="shared" si="66"/>
        <v/>
      </c>
      <c r="AP49" s="49" t="str">
        <f t="shared" si="66"/>
        <v/>
      </c>
      <c r="AQ49" s="49" t="str">
        <f t="shared" si="66"/>
        <v/>
      </c>
      <c r="AR49" s="49" t="str">
        <f t="shared" si="66"/>
        <v/>
      </c>
      <c r="AS49" s="49" t="str">
        <f t="shared" si="66"/>
        <v/>
      </c>
      <c r="AT49" s="49" t="str">
        <f t="shared" si="66"/>
        <v/>
      </c>
      <c r="AU49" s="49" t="str">
        <f t="shared" si="66"/>
        <v/>
      </c>
      <c r="AV49" s="49" t="str">
        <f t="shared" si="66"/>
        <v/>
      </c>
      <c r="AW49" s="49" t="str">
        <f t="shared" si="66"/>
        <v/>
      </c>
      <c r="AX49" s="49" t="str">
        <f t="shared" si="66"/>
        <v/>
      </c>
      <c r="AY49" s="49" t="str">
        <f t="shared" si="66"/>
        <v/>
      </c>
      <c r="AZ49" s="49" t="str">
        <f t="shared" si="66"/>
        <v/>
      </c>
      <c r="BA49" s="49" t="str">
        <f t="shared" si="66"/>
        <v/>
      </c>
      <c r="BB49" s="49" t="str">
        <f t="shared" si="66"/>
        <v/>
      </c>
      <c r="BC49" s="49" t="str">
        <f t="shared" si="66"/>
        <v/>
      </c>
      <c r="BD49" s="49" t="str">
        <f t="shared" si="66"/>
        <v/>
      </c>
      <c r="BE49" s="49" t="str">
        <f t="shared" si="66"/>
        <v/>
      </c>
      <c r="BF49" s="49" t="str">
        <f t="shared" si="66"/>
        <v/>
      </c>
      <c r="BG49" s="49" t="str">
        <f t="shared" si="66"/>
        <v/>
      </c>
      <c r="BH49" s="49" t="str">
        <f t="shared" si="66"/>
        <v/>
      </c>
      <c r="BI49" s="49" t="str">
        <f t="shared" si="66"/>
        <v/>
      </c>
      <c r="BJ49" s="49" t="str">
        <f t="shared" si="66"/>
        <v/>
      </c>
      <c r="BK49" s="49" t="str">
        <f t="shared" si="66"/>
        <v/>
      </c>
      <c r="BL49" s="49" t="str">
        <f t="shared" si="66"/>
        <v/>
      </c>
      <c r="BM49" s="49" t="str">
        <f t="shared" si="66"/>
        <v/>
      </c>
      <c r="BN49" s="49" t="str">
        <f t="shared" si="66"/>
        <v/>
      </c>
      <c r="BO49" s="49" t="str">
        <f t="shared" si="66"/>
        <v/>
      </c>
      <c r="BP49" s="49" t="str">
        <f t="shared" si="66"/>
        <v/>
      </c>
      <c r="BQ49" s="49" t="str">
        <f t="shared" si="66"/>
        <v/>
      </c>
      <c r="BR49" s="49" t="str">
        <f t="shared" si="66"/>
        <v/>
      </c>
      <c r="BS49" s="49" t="str">
        <f t="shared" si="66"/>
        <v/>
      </c>
      <c r="BT49" s="49" t="str">
        <f t="shared" si="66"/>
        <v/>
      </c>
      <c r="BU49" s="49" t="str">
        <f t="shared" si="66"/>
        <v/>
      </c>
      <c r="BV49" s="49" t="str">
        <f t="shared" si="66"/>
        <v/>
      </c>
      <c r="BW49" s="49" t="str">
        <f t="shared" si="66"/>
        <v/>
      </c>
      <c r="BX49" s="49" t="str">
        <f t="shared" si="66"/>
        <v/>
      </c>
      <c r="BY49" s="49" t="str">
        <f t="shared" si="66"/>
        <v/>
      </c>
      <c r="BZ49" s="49" t="str">
        <f t="shared" si="66"/>
        <v/>
      </c>
      <c r="CA49" s="49" t="str">
        <f t="shared" si="66"/>
        <v/>
      </c>
      <c r="CB49" s="49" t="str">
        <f t="shared" si="66"/>
        <v/>
      </c>
      <c r="CC49" s="49" t="str">
        <f t="shared" si="66"/>
        <v/>
      </c>
      <c r="CD49" s="49" t="str">
        <f t="shared" si="66"/>
        <v/>
      </c>
      <c r="CE49" s="49" t="str">
        <f t="shared" si="66"/>
        <v/>
      </c>
      <c r="CF49" s="49" t="str">
        <f t="shared" si="66"/>
        <v/>
      </c>
      <c r="CG49" s="49" t="str">
        <f t="shared" si="66"/>
        <v/>
      </c>
      <c r="CH49" s="49" t="str">
        <f t="shared" si="66"/>
        <v/>
      </c>
      <c r="CI49" s="49" t="str">
        <f t="shared" si="66"/>
        <v/>
      </c>
      <c r="CJ49" s="49" t="str">
        <f t="shared" si="66"/>
        <v/>
      </c>
      <c r="CK49" s="49" t="str">
        <f t="shared" si="66"/>
        <v/>
      </c>
      <c r="CL49" s="49" t="str">
        <f t="shared" si="66"/>
        <v/>
      </c>
      <c r="CM49" s="49" t="str">
        <f t="shared" si="66"/>
        <v/>
      </c>
      <c r="CN49" s="49" t="str">
        <f t="shared" si="66"/>
        <v/>
      </c>
      <c r="CO49" s="49" t="str">
        <f t="shared" si="66"/>
        <v/>
      </c>
      <c r="CP49" s="49" t="str">
        <f t="shared" si="66"/>
        <v/>
      </c>
      <c r="CQ49" s="49" t="str">
        <f t="shared" si="66"/>
        <v/>
      </c>
      <c r="CR49" s="49" t="str">
        <f t="shared" si="66"/>
        <v/>
      </c>
      <c r="CS49" s="49" t="str">
        <f t="shared" si="66"/>
        <v/>
      </c>
      <c r="CT49" s="49" t="str">
        <f t="shared" si="66"/>
        <v/>
      </c>
      <c r="CU49" s="49" t="str">
        <f t="shared" si="66"/>
        <v/>
      </c>
      <c r="CV49" s="49" t="str">
        <f t="shared" si="66"/>
        <v/>
      </c>
      <c r="CW49" s="49" t="str">
        <f t="shared" si="66"/>
        <v/>
      </c>
      <c r="CX49" s="49" t="str">
        <f t="shared" si="66"/>
        <v/>
      </c>
      <c r="CY49" s="49" t="str">
        <f t="shared" si="66"/>
        <v/>
      </c>
      <c r="CZ49" s="49" t="str">
        <f t="shared" si="66"/>
        <v/>
      </c>
      <c r="DA49" s="49" t="str">
        <f t="shared" si="66"/>
        <v/>
      </c>
      <c r="DB49" s="49" t="str">
        <f t="shared" si="66"/>
        <v/>
      </c>
      <c r="DC49" s="49" t="str">
        <f t="shared" si="66"/>
        <v/>
      </c>
      <c r="DD49" s="49" t="str">
        <f t="shared" si="66"/>
        <v/>
      </c>
      <c r="DE49" s="49" t="str">
        <f t="shared" si="66"/>
        <v/>
      </c>
      <c r="DF49" s="49" t="str">
        <f t="shared" si="66"/>
        <v/>
      </c>
      <c r="DG49" s="49" t="str">
        <f t="shared" si="66"/>
        <v/>
      </c>
      <c r="DH49" s="49" t="str">
        <f t="shared" si="66"/>
        <v/>
      </c>
      <c r="DI49" s="49" t="str">
        <f t="shared" si="66"/>
        <v/>
      </c>
      <c r="DJ49" s="49" t="str">
        <f t="shared" si="66"/>
        <v/>
      </c>
    </row>
    <row r="50" spans="1:114" ht="15.75" customHeight="1" x14ac:dyDescent="0.55000000000000004">
      <c r="A50" s="41" t="e">
        <f>MASANIELLO!#REF!</f>
        <v>#REF!</v>
      </c>
      <c r="B50" s="41" t="e">
        <f t="shared" si="2"/>
        <v>#VALUE!</v>
      </c>
      <c r="C50" s="42" t="e">
        <f t="shared" si="3"/>
        <v>#VALUE!</v>
      </c>
      <c r="D50" s="42" t="e">
        <f t="shared" si="4"/>
        <v>#VALUE!</v>
      </c>
      <c r="E50" s="42" t="e">
        <f t="shared" si="5"/>
        <v>#VALUE!</v>
      </c>
      <c r="F50" s="42" t="e">
        <f t="shared" si="6"/>
        <v>#VALUE!</v>
      </c>
      <c r="G50" s="50" t="e">
        <f t="shared" si="7"/>
        <v>#VALUE!</v>
      </c>
      <c r="H50" s="41" t="e">
        <f t="shared" si="8"/>
        <v>#VALUE!</v>
      </c>
      <c r="I50" s="41" t="e">
        <f t="shared" si="9"/>
        <v>#VALUE!</v>
      </c>
      <c r="J50" s="45" t="e">
        <f t="shared" si="10"/>
        <v>#VALUE!</v>
      </c>
      <c r="M50" s="48" t="b">
        <f t="shared" si="11"/>
        <v>0</v>
      </c>
      <c r="N50" s="49" t="e">
        <f t="shared" ref="N50:DJ50" si="67">IF(N$1&gt;$L$2,   "",   IF(N$1=$L$2,  1,  IF($L$2-N$1=$L$1-$M50, $L$3^($L$1-$M50), ($L$3*N51*O51/(N51+($L$3-1)*O51) ))))</f>
        <v>#DIV/0!</v>
      </c>
      <c r="O50" s="49" t="e">
        <f t="shared" si="67"/>
        <v>#DIV/0!</v>
      </c>
      <c r="P50" s="49" t="e">
        <f t="shared" si="67"/>
        <v>#DIV/0!</v>
      </c>
      <c r="Q50" s="49" t="e">
        <f t="shared" si="67"/>
        <v>#DIV/0!</v>
      </c>
      <c r="R50" s="49">
        <f t="shared" si="67"/>
        <v>1</v>
      </c>
      <c r="S50" s="49" t="str">
        <f t="shared" si="67"/>
        <v/>
      </c>
      <c r="T50" s="49" t="str">
        <f t="shared" si="67"/>
        <v/>
      </c>
      <c r="U50" s="49" t="str">
        <f t="shared" si="67"/>
        <v/>
      </c>
      <c r="V50" s="49" t="str">
        <f t="shared" si="67"/>
        <v/>
      </c>
      <c r="W50" s="49" t="str">
        <f t="shared" si="67"/>
        <v/>
      </c>
      <c r="X50" s="49" t="str">
        <f t="shared" si="67"/>
        <v/>
      </c>
      <c r="Y50" s="49" t="str">
        <f t="shared" si="67"/>
        <v/>
      </c>
      <c r="Z50" s="49" t="str">
        <f t="shared" si="67"/>
        <v/>
      </c>
      <c r="AA50" s="49" t="str">
        <f t="shared" si="67"/>
        <v/>
      </c>
      <c r="AB50" s="49" t="str">
        <f t="shared" si="67"/>
        <v/>
      </c>
      <c r="AC50" s="49" t="str">
        <f t="shared" si="67"/>
        <v/>
      </c>
      <c r="AD50" s="49" t="str">
        <f t="shared" si="67"/>
        <v/>
      </c>
      <c r="AE50" s="49" t="str">
        <f t="shared" si="67"/>
        <v/>
      </c>
      <c r="AF50" s="49" t="str">
        <f t="shared" si="67"/>
        <v/>
      </c>
      <c r="AG50" s="49" t="str">
        <f t="shared" si="67"/>
        <v/>
      </c>
      <c r="AH50" s="49" t="str">
        <f t="shared" si="67"/>
        <v/>
      </c>
      <c r="AI50" s="49" t="str">
        <f t="shared" si="67"/>
        <v/>
      </c>
      <c r="AJ50" s="49" t="str">
        <f t="shared" si="67"/>
        <v/>
      </c>
      <c r="AK50" s="49" t="str">
        <f t="shared" si="67"/>
        <v/>
      </c>
      <c r="AL50" s="49" t="str">
        <f t="shared" si="67"/>
        <v/>
      </c>
      <c r="AM50" s="49" t="str">
        <f t="shared" si="67"/>
        <v/>
      </c>
      <c r="AN50" s="49" t="str">
        <f t="shared" si="67"/>
        <v/>
      </c>
      <c r="AO50" s="49" t="str">
        <f t="shared" si="67"/>
        <v/>
      </c>
      <c r="AP50" s="49" t="str">
        <f t="shared" si="67"/>
        <v/>
      </c>
      <c r="AQ50" s="49" t="str">
        <f t="shared" si="67"/>
        <v/>
      </c>
      <c r="AR50" s="49" t="str">
        <f t="shared" si="67"/>
        <v/>
      </c>
      <c r="AS50" s="49" t="str">
        <f t="shared" si="67"/>
        <v/>
      </c>
      <c r="AT50" s="49" t="str">
        <f t="shared" si="67"/>
        <v/>
      </c>
      <c r="AU50" s="49" t="str">
        <f t="shared" si="67"/>
        <v/>
      </c>
      <c r="AV50" s="49" t="str">
        <f t="shared" si="67"/>
        <v/>
      </c>
      <c r="AW50" s="49" t="str">
        <f t="shared" si="67"/>
        <v/>
      </c>
      <c r="AX50" s="49" t="str">
        <f t="shared" si="67"/>
        <v/>
      </c>
      <c r="AY50" s="49" t="str">
        <f t="shared" si="67"/>
        <v/>
      </c>
      <c r="AZ50" s="49" t="str">
        <f t="shared" si="67"/>
        <v/>
      </c>
      <c r="BA50" s="49" t="str">
        <f t="shared" si="67"/>
        <v/>
      </c>
      <c r="BB50" s="49" t="str">
        <f t="shared" si="67"/>
        <v/>
      </c>
      <c r="BC50" s="49" t="str">
        <f t="shared" si="67"/>
        <v/>
      </c>
      <c r="BD50" s="49" t="str">
        <f t="shared" si="67"/>
        <v/>
      </c>
      <c r="BE50" s="49" t="str">
        <f t="shared" si="67"/>
        <v/>
      </c>
      <c r="BF50" s="49" t="str">
        <f t="shared" si="67"/>
        <v/>
      </c>
      <c r="BG50" s="49" t="str">
        <f t="shared" si="67"/>
        <v/>
      </c>
      <c r="BH50" s="49" t="str">
        <f t="shared" si="67"/>
        <v/>
      </c>
      <c r="BI50" s="49" t="str">
        <f t="shared" si="67"/>
        <v/>
      </c>
      <c r="BJ50" s="49" t="str">
        <f t="shared" si="67"/>
        <v/>
      </c>
      <c r="BK50" s="49" t="str">
        <f t="shared" si="67"/>
        <v/>
      </c>
      <c r="BL50" s="49" t="str">
        <f t="shared" si="67"/>
        <v/>
      </c>
      <c r="BM50" s="49" t="str">
        <f t="shared" si="67"/>
        <v/>
      </c>
      <c r="BN50" s="49" t="str">
        <f t="shared" si="67"/>
        <v/>
      </c>
      <c r="BO50" s="49" t="str">
        <f t="shared" si="67"/>
        <v/>
      </c>
      <c r="BP50" s="49" t="str">
        <f t="shared" si="67"/>
        <v/>
      </c>
      <c r="BQ50" s="49" t="str">
        <f t="shared" si="67"/>
        <v/>
      </c>
      <c r="BR50" s="49" t="str">
        <f t="shared" si="67"/>
        <v/>
      </c>
      <c r="BS50" s="49" t="str">
        <f t="shared" si="67"/>
        <v/>
      </c>
      <c r="BT50" s="49" t="str">
        <f t="shared" si="67"/>
        <v/>
      </c>
      <c r="BU50" s="49" t="str">
        <f t="shared" si="67"/>
        <v/>
      </c>
      <c r="BV50" s="49" t="str">
        <f t="shared" si="67"/>
        <v/>
      </c>
      <c r="BW50" s="49" t="str">
        <f t="shared" si="67"/>
        <v/>
      </c>
      <c r="BX50" s="49" t="str">
        <f t="shared" si="67"/>
        <v/>
      </c>
      <c r="BY50" s="49" t="str">
        <f t="shared" si="67"/>
        <v/>
      </c>
      <c r="BZ50" s="49" t="str">
        <f t="shared" si="67"/>
        <v/>
      </c>
      <c r="CA50" s="49" t="str">
        <f t="shared" si="67"/>
        <v/>
      </c>
      <c r="CB50" s="49" t="str">
        <f t="shared" si="67"/>
        <v/>
      </c>
      <c r="CC50" s="49" t="str">
        <f t="shared" si="67"/>
        <v/>
      </c>
      <c r="CD50" s="49" t="str">
        <f t="shared" si="67"/>
        <v/>
      </c>
      <c r="CE50" s="49" t="str">
        <f t="shared" si="67"/>
        <v/>
      </c>
      <c r="CF50" s="49" t="str">
        <f t="shared" si="67"/>
        <v/>
      </c>
      <c r="CG50" s="49" t="str">
        <f t="shared" si="67"/>
        <v/>
      </c>
      <c r="CH50" s="49" t="str">
        <f t="shared" si="67"/>
        <v/>
      </c>
      <c r="CI50" s="49" t="str">
        <f t="shared" si="67"/>
        <v/>
      </c>
      <c r="CJ50" s="49" t="str">
        <f t="shared" si="67"/>
        <v/>
      </c>
      <c r="CK50" s="49" t="str">
        <f t="shared" si="67"/>
        <v/>
      </c>
      <c r="CL50" s="49" t="str">
        <f t="shared" si="67"/>
        <v/>
      </c>
      <c r="CM50" s="49" t="str">
        <f t="shared" si="67"/>
        <v/>
      </c>
      <c r="CN50" s="49" t="str">
        <f t="shared" si="67"/>
        <v/>
      </c>
      <c r="CO50" s="49" t="str">
        <f t="shared" si="67"/>
        <v/>
      </c>
      <c r="CP50" s="49" t="str">
        <f t="shared" si="67"/>
        <v/>
      </c>
      <c r="CQ50" s="49" t="str">
        <f t="shared" si="67"/>
        <v/>
      </c>
      <c r="CR50" s="49" t="str">
        <f t="shared" si="67"/>
        <v/>
      </c>
      <c r="CS50" s="49" t="str">
        <f t="shared" si="67"/>
        <v/>
      </c>
      <c r="CT50" s="49" t="str">
        <f t="shared" si="67"/>
        <v/>
      </c>
      <c r="CU50" s="49" t="str">
        <f t="shared" si="67"/>
        <v/>
      </c>
      <c r="CV50" s="49" t="str">
        <f t="shared" si="67"/>
        <v/>
      </c>
      <c r="CW50" s="49" t="str">
        <f t="shared" si="67"/>
        <v/>
      </c>
      <c r="CX50" s="49" t="str">
        <f t="shared" si="67"/>
        <v/>
      </c>
      <c r="CY50" s="49" t="str">
        <f t="shared" si="67"/>
        <v/>
      </c>
      <c r="CZ50" s="49" t="str">
        <f t="shared" si="67"/>
        <v/>
      </c>
      <c r="DA50" s="49" t="str">
        <f t="shared" si="67"/>
        <v/>
      </c>
      <c r="DB50" s="49" t="str">
        <f t="shared" si="67"/>
        <v/>
      </c>
      <c r="DC50" s="49" t="str">
        <f t="shared" si="67"/>
        <v/>
      </c>
      <c r="DD50" s="49" t="str">
        <f t="shared" si="67"/>
        <v/>
      </c>
      <c r="DE50" s="49" t="str">
        <f t="shared" si="67"/>
        <v/>
      </c>
      <c r="DF50" s="49" t="str">
        <f t="shared" si="67"/>
        <v/>
      </c>
      <c r="DG50" s="49" t="str">
        <f t="shared" si="67"/>
        <v/>
      </c>
      <c r="DH50" s="49" t="str">
        <f t="shared" si="67"/>
        <v/>
      </c>
      <c r="DI50" s="49" t="str">
        <f t="shared" si="67"/>
        <v/>
      </c>
      <c r="DJ50" s="49" t="str">
        <f t="shared" si="67"/>
        <v/>
      </c>
    </row>
    <row r="51" spans="1:114" ht="15.75" customHeight="1" x14ac:dyDescent="0.55000000000000004">
      <c r="A51" s="41" t="e">
        <f>MASANIELLO!#REF!</f>
        <v>#REF!</v>
      </c>
      <c r="B51" s="41" t="e">
        <f t="shared" si="2"/>
        <v>#VALUE!</v>
      </c>
      <c r="C51" s="42" t="e">
        <f t="shared" si="3"/>
        <v>#VALUE!</v>
      </c>
      <c r="D51" s="42" t="e">
        <f t="shared" si="4"/>
        <v>#VALUE!</v>
      </c>
      <c r="E51" s="42" t="e">
        <f t="shared" si="5"/>
        <v>#VALUE!</v>
      </c>
      <c r="F51" s="42" t="e">
        <f t="shared" si="6"/>
        <v>#VALUE!</v>
      </c>
      <c r="G51" s="50" t="e">
        <f t="shared" si="7"/>
        <v>#VALUE!</v>
      </c>
      <c r="H51" s="41" t="e">
        <f t="shared" si="8"/>
        <v>#VALUE!</v>
      </c>
      <c r="I51" s="41" t="e">
        <f t="shared" si="9"/>
        <v>#VALUE!</v>
      </c>
      <c r="J51" s="45" t="e">
        <f t="shared" si="10"/>
        <v>#VALUE!</v>
      </c>
      <c r="M51" s="48" t="b">
        <f t="shared" si="11"/>
        <v>0</v>
      </c>
      <c r="N51" s="49" t="e">
        <f t="shared" ref="N51:DJ51" si="68">IF(N$1&gt;$L$2,   "",   IF(N$1=$L$2,  1,  IF($L$2-N$1=$L$1-$M51, $L$3^($L$1-$M51), ($L$3*N52*O52/(N52+($L$3-1)*O52) ))))</f>
        <v>#DIV/0!</v>
      </c>
      <c r="O51" s="49" t="e">
        <f t="shared" si="68"/>
        <v>#DIV/0!</v>
      </c>
      <c r="P51" s="49" t="e">
        <f t="shared" si="68"/>
        <v>#DIV/0!</v>
      </c>
      <c r="Q51" s="49" t="e">
        <f t="shared" si="68"/>
        <v>#DIV/0!</v>
      </c>
      <c r="R51" s="49">
        <f t="shared" si="68"/>
        <v>1</v>
      </c>
      <c r="S51" s="49" t="str">
        <f t="shared" si="68"/>
        <v/>
      </c>
      <c r="T51" s="49" t="str">
        <f t="shared" si="68"/>
        <v/>
      </c>
      <c r="U51" s="49" t="str">
        <f t="shared" si="68"/>
        <v/>
      </c>
      <c r="V51" s="49" t="str">
        <f t="shared" si="68"/>
        <v/>
      </c>
      <c r="W51" s="49" t="str">
        <f t="shared" si="68"/>
        <v/>
      </c>
      <c r="X51" s="49" t="str">
        <f t="shared" si="68"/>
        <v/>
      </c>
      <c r="Y51" s="49" t="str">
        <f t="shared" si="68"/>
        <v/>
      </c>
      <c r="Z51" s="49" t="str">
        <f t="shared" si="68"/>
        <v/>
      </c>
      <c r="AA51" s="49" t="str">
        <f t="shared" si="68"/>
        <v/>
      </c>
      <c r="AB51" s="49" t="str">
        <f t="shared" si="68"/>
        <v/>
      </c>
      <c r="AC51" s="49" t="str">
        <f t="shared" si="68"/>
        <v/>
      </c>
      <c r="AD51" s="49" t="str">
        <f t="shared" si="68"/>
        <v/>
      </c>
      <c r="AE51" s="49" t="str">
        <f t="shared" si="68"/>
        <v/>
      </c>
      <c r="AF51" s="49" t="str">
        <f t="shared" si="68"/>
        <v/>
      </c>
      <c r="AG51" s="49" t="str">
        <f t="shared" si="68"/>
        <v/>
      </c>
      <c r="AH51" s="49" t="str">
        <f t="shared" si="68"/>
        <v/>
      </c>
      <c r="AI51" s="49" t="str">
        <f t="shared" si="68"/>
        <v/>
      </c>
      <c r="AJ51" s="49" t="str">
        <f t="shared" si="68"/>
        <v/>
      </c>
      <c r="AK51" s="49" t="str">
        <f t="shared" si="68"/>
        <v/>
      </c>
      <c r="AL51" s="49" t="str">
        <f t="shared" si="68"/>
        <v/>
      </c>
      <c r="AM51" s="49" t="str">
        <f t="shared" si="68"/>
        <v/>
      </c>
      <c r="AN51" s="49" t="str">
        <f t="shared" si="68"/>
        <v/>
      </c>
      <c r="AO51" s="49" t="str">
        <f t="shared" si="68"/>
        <v/>
      </c>
      <c r="AP51" s="49" t="str">
        <f t="shared" si="68"/>
        <v/>
      </c>
      <c r="AQ51" s="49" t="str">
        <f t="shared" si="68"/>
        <v/>
      </c>
      <c r="AR51" s="49" t="str">
        <f t="shared" si="68"/>
        <v/>
      </c>
      <c r="AS51" s="49" t="str">
        <f t="shared" si="68"/>
        <v/>
      </c>
      <c r="AT51" s="49" t="str">
        <f t="shared" si="68"/>
        <v/>
      </c>
      <c r="AU51" s="49" t="str">
        <f t="shared" si="68"/>
        <v/>
      </c>
      <c r="AV51" s="49" t="str">
        <f t="shared" si="68"/>
        <v/>
      </c>
      <c r="AW51" s="49" t="str">
        <f t="shared" si="68"/>
        <v/>
      </c>
      <c r="AX51" s="49" t="str">
        <f t="shared" si="68"/>
        <v/>
      </c>
      <c r="AY51" s="49" t="str">
        <f t="shared" si="68"/>
        <v/>
      </c>
      <c r="AZ51" s="49" t="str">
        <f t="shared" si="68"/>
        <v/>
      </c>
      <c r="BA51" s="49" t="str">
        <f t="shared" si="68"/>
        <v/>
      </c>
      <c r="BB51" s="49" t="str">
        <f t="shared" si="68"/>
        <v/>
      </c>
      <c r="BC51" s="49" t="str">
        <f t="shared" si="68"/>
        <v/>
      </c>
      <c r="BD51" s="49" t="str">
        <f t="shared" si="68"/>
        <v/>
      </c>
      <c r="BE51" s="49" t="str">
        <f t="shared" si="68"/>
        <v/>
      </c>
      <c r="BF51" s="49" t="str">
        <f t="shared" si="68"/>
        <v/>
      </c>
      <c r="BG51" s="49" t="str">
        <f t="shared" si="68"/>
        <v/>
      </c>
      <c r="BH51" s="49" t="str">
        <f t="shared" si="68"/>
        <v/>
      </c>
      <c r="BI51" s="49" t="str">
        <f t="shared" si="68"/>
        <v/>
      </c>
      <c r="BJ51" s="49" t="str">
        <f t="shared" si="68"/>
        <v/>
      </c>
      <c r="BK51" s="49" t="str">
        <f t="shared" si="68"/>
        <v/>
      </c>
      <c r="BL51" s="49" t="str">
        <f t="shared" si="68"/>
        <v/>
      </c>
      <c r="BM51" s="49" t="str">
        <f t="shared" si="68"/>
        <v/>
      </c>
      <c r="BN51" s="49" t="str">
        <f t="shared" si="68"/>
        <v/>
      </c>
      <c r="BO51" s="49" t="str">
        <f t="shared" si="68"/>
        <v/>
      </c>
      <c r="BP51" s="49" t="str">
        <f t="shared" si="68"/>
        <v/>
      </c>
      <c r="BQ51" s="49" t="str">
        <f t="shared" si="68"/>
        <v/>
      </c>
      <c r="BR51" s="49" t="str">
        <f t="shared" si="68"/>
        <v/>
      </c>
      <c r="BS51" s="49" t="str">
        <f t="shared" si="68"/>
        <v/>
      </c>
      <c r="BT51" s="49" t="str">
        <f t="shared" si="68"/>
        <v/>
      </c>
      <c r="BU51" s="49" t="str">
        <f t="shared" si="68"/>
        <v/>
      </c>
      <c r="BV51" s="49" t="str">
        <f t="shared" si="68"/>
        <v/>
      </c>
      <c r="BW51" s="49" t="str">
        <f t="shared" si="68"/>
        <v/>
      </c>
      <c r="BX51" s="49" t="str">
        <f t="shared" si="68"/>
        <v/>
      </c>
      <c r="BY51" s="49" t="str">
        <f t="shared" si="68"/>
        <v/>
      </c>
      <c r="BZ51" s="49" t="str">
        <f t="shared" si="68"/>
        <v/>
      </c>
      <c r="CA51" s="49" t="str">
        <f t="shared" si="68"/>
        <v/>
      </c>
      <c r="CB51" s="49" t="str">
        <f t="shared" si="68"/>
        <v/>
      </c>
      <c r="CC51" s="49" t="str">
        <f t="shared" si="68"/>
        <v/>
      </c>
      <c r="CD51" s="49" t="str">
        <f t="shared" si="68"/>
        <v/>
      </c>
      <c r="CE51" s="49" t="str">
        <f t="shared" si="68"/>
        <v/>
      </c>
      <c r="CF51" s="49" t="str">
        <f t="shared" si="68"/>
        <v/>
      </c>
      <c r="CG51" s="49" t="str">
        <f t="shared" si="68"/>
        <v/>
      </c>
      <c r="CH51" s="49" t="str">
        <f t="shared" si="68"/>
        <v/>
      </c>
      <c r="CI51" s="49" t="str">
        <f t="shared" si="68"/>
        <v/>
      </c>
      <c r="CJ51" s="49" t="str">
        <f t="shared" si="68"/>
        <v/>
      </c>
      <c r="CK51" s="49" t="str">
        <f t="shared" si="68"/>
        <v/>
      </c>
      <c r="CL51" s="49" t="str">
        <f t="shared" si="68"/>
        <v/>
      </c>
      <c r="CM51" s="49" t="str">
        <f t="shared" si="68"/>
        <v/>
      </c>
      <c r="CN51" s="49" t="str">
        <f t="shared" si="68"/>
        <v/>
      </c>
      <c r="CO51" s="49" t="str">
        <f t="shared" si="68"/>
        <v/>
      </c>
      <c r="CP51" s="49" t="str">
        <f t="shared" si="68"/>
        <v/>
      </c>
      <c r="CQ51" s="49" t="str">
        <f t="shared" si="68"/>
        <v/>
      </c>
      <c r="CR51" s="49" t="str">
        <f t="shared" si="68"/>
        <v/>
      </c>
      <c r="CS51" s="49" t="str">
        <f t="shared" si="68"/>
        <v/>
      </c>
      <c r="CT51" s="49" t="str">
        <f t="shared" si="68"/>
        <v/>
      </c>
      <c r="CU51" s="49" t="str">
        <f t="shared" si="68"/>
        <v/>
      </c>
      <c r="CV51" s="49" t="str">
        <f t="shared" si="68"/>
        <v/>
      </c>
      <c r="CW51" s="49" t="str">
        <f t="shared" si="68"/>
        <v/>
      </c>
      <c r="CX51" s="49" t="str">
        <f t="shared" si="68"/>
        <v/>
      </c>
      <c r="CY51" s="49" t="str">
        <f t="shared" si="68"/>
        <v/>
      </c>
      <c r="CZ51" s="49" t="str">
        <f t="shared" si="68"/>
        <v/>
      </c>
      <c r="DA51" s="49" t="str">
        <f t="shared" si="68"/>
        <v/>
      </c>
      <c r="DB51" s="49" t="str">
        <f t="shared" si="68"/>
        <v/>
      </c>
      <c r="DC51" s="49" t="str">
        <f t="shared" si="68"/>
        <v/>
      </c>
      <c r="DD51" s="49" t="str">
        <f t="shared" si="68"/>
        <v/>
      </c>
      <c r="DE51" s="49" t="str">
        <f t="shared" si="68"/>
        <v/>
      </c>
      <c r="DF51" s="49" t="str">
        <f t="shared" si="68"/>
        <v/>
      </c>
      <c r="DG51" s="49" t="str">
        <f t="shared" si="68"/>
        <v/>
      </c>
      <c r="DH51" s="49" t="str">
        <f t="shared" si="68"/>
        <v/>
      </c>
      <c r="DI51" s="49" t="str">
        <f t="shared" si="68"/>
        <v/>
      </c>
      <c r="DJ51" s="49" t="str">
        <f t="shared" si="68"/>
        <v/>
      </c>
    </row>
    <row r="52" spans="1:114" ht="15.75" customHeight="1" x14ac:dyDescent="0.55000000000000004">
      <c r="A52" s="41" t="e">
        <f>MASANIELLO!#REF!</f>
        <v>#REF!</v>
      </c>
      <c r="B52" s="41" t="e">
        <f t="shared" si="2"/>
        <v>#VALUE!</v>
      </c>
      <c r="C52" s="42" t="e">
        <f t="shared" si="3"/>
        <v>#VALUE!</v>
      </c>
      <c r="D52" s="42" t="e">
        <f t="shared" si="4"/>
        <v>#VALUE!</v>
      </c>
      <c r="E52" s="42" t="e">
        <f t="shared" si="5"/>
        <v>#VALUE!</v>
      </c>
      <c r="F52" s="42" t="e">
        <f t="shared" si="6"/>
        <v>#VALUE!</v>
      </c>
      <c r="G52" s="50" t="e">
        <f t="shared" si="7"/>
        <v>#VALUE!</v>
      </c>
      <c r="H52" s="41" t="e">
        <f t="shared" si="8"/>
        <v>#VALUE!</v>
      </c>
      <c r="I52" s="41" t="e">
        <f t="shared" si="9"/>
        <v>#VALUE!</v>
      </c>
      <c r="J52" s="45" t="e">
        <f t="shared" si="10"/>
        <v>#VALUE!</v>
      </c>
      <c r="M52" s="48" t="b">
        <f t="shared" si="11"/>
        <v>0</v>
      </c>
      <c r="N52" s="49" t="e">
        <f t="shared" ref="N52:DJ52" si="69">IF(N$1&gt;$L$2,   "",   IF(N$1=$L$2,  1,  IF($L$2-N$1=$L$1-$M52, $L$3^($L$1-$M52), ($L$3*N53*O53/(N53+($L$3-1)*O53) ))))</f>
        <v>#DIV/0!</v>
      </c>
      <c r="O52" s="49" t="e">
        <f t="shared" si="69"/>
        <v>#DIV/0!</v>
      </c>
      <c r="P52" s="49" t="e">
        <f t="shared" si="69"/>
        <v>#DIV/0!</v>
      </c>
      <c r="Q52" s="49" t="e">
        <f t="shared" si="69"/>
        <v>#DIV/0!</v>
      </c>
      <c r="R52" s="49">
        <f t="shared" si="69"/>
        <v>1</v>
      </c>
      <c r="S52" s="49" t="str">
        <f t="shared" si="69"/>
        <v/>
      </c>
      <c r="T52" s="49" t="str">
        <f t="shared" si="69"/>
        <v/>
      </c>
      <c r="U52" s="49" t="str">
        <f t="shared" si="69"/>
        <v/>
      </c>
      <c r="V52" s="49" t="str">
        <f t="shared" si="69"/>
        <v/>
      </c>
      <c r="W52" s="49" t="str">
        <f t="shared" si="69"/>
        <v/>
      </c>
      <c r="X52" s="49" t="str">
        <f t="shared" si="69"/>
        <v/>
      </c>
      <c r="Y52" s="49" t="str">
        <f t="shared" si="69"/>
        <v/>
      </c>
      <c r="Z52" s="49" t="str">
        <f t="shared" si="69"/>
        <v/>
      </c>
      <c r="AA52" s="49" t="str">
        <f t="shared" si="69"/>
        <v/>
      </c>
      <c r="AB52" s="49" t="str">
        <f t="shared" si="69"/>
        <v/>
      </c>
      <c r="AC52" s="49" t="str">
        <f t="shared" si="69"/>
        <v/>
      </c>
      <c r="AD52" s="49" t="str">
        <f t="shared" si="69"/>
        <v/>
      </c>
      <c r="AE52" s="49" t="str">
        <f t="shared" si="69"/>
        <v/>
      </c>
      <c r="AF52" s="49" t="str">
        <f t="shared" si="69"/>
        <v/>
      </c>
      <c r="AG52" s="49" t="str">
        <f t="shared" si="69"/>
        <v/>
      </c>
      <c r="AH52" s="49" t="str">
        <f t="shared" si="69"/>
        <v/>
      </c>
      <c r="AI52" s="49" t="str">
        <f t="shared" si="69"/>
        <v/>
      </c>
      <c r="AJ52" s="49" t="str">
        <f t="shared" si="69"/>
        <v/>
      </c>
      <c r="AK52" s="49" t="str">
        <f t="shared" si="69"/>
        <v/>
      </c>
      <c r="AL52" s="49" t="str">
        <f t="shared" si="69"/>
        <v/>
      </c>
      <c r="AM52" s="49" t="str">
        <f t="shared" si="69"/>
        <v/>
      </c>
      <c r="AN52" s="49" t="str">
        <f t="shared" si="69"/>
        <v/>
      </c>
      <c r="AO52" s="49" t="str">
        <f t="shared" si="69"/>
        <v/>
      </c>
      <c r="AP52" s="49" t="str">
        <f t="shared" si="69"/>
        <v/>
      </c>
      <c r="AQ52" s="49" t="str">
        <f t="shared" si="69"/>
        <v/>
      </c>
      <c r="AR52" s="49" t="str">
        <f t="shared" si="69"/>
        <v/>
      </c>
      <c r="AS52" s="49" t="str">
        <f t="shared" si="69"/>
        <v/>
      </c>
      <c r="AT52" s="49" t="str">
        <f t="shared" si="69"/>
        <v/>
      </c>
      <c r="AU52" s="49" t="str">
        <f t="shared" si="69"/>
        <v/>
      </c>
      <c r="AV52" s="49" t="str">
        <f t="shared" si="69"/>
        <v/>
      </c>
      <c r="AW52" s="49" t="str">
        <f t="shared" si="69"/>
        <v/>
      </c>
      <c r="AX52" s="49" t="str">
        <f t="shared" si="69"/>
        <v/>
      </c>
      <c r="AY52" s="49" t="str">
        <f t="shared" si="69"/>
        <v/>
      </c>
      <c r="AZ52" s="49" t="str">
        <f t="shared" si="69"/>
        <v/>
      </c>
      <c r="BA52" s="49" t="str">
        <f t="shared" si="69"/>
        <v/>
      </c>
      <c r="BB52" s="49" t="str">
        <f t="shared" si="69"/>
        <v/>
      </c>
      <c r="BC52" s="49" t="str">
        <f t="shared" si="69"/>
        <v/>
      </c>
      <c r="BD52" s="49" t="str">
        <f t="shared" si="69"/>
        <v/>
      </c>
      <c r="BE52" s="49" t="str">
        <f t="shared" si="69"/>
        <v/>
      </c>
      <c r="BF52" s="49" t="str">
        <f t="shared" si="69"/>
        <v/>
      </c>
      <c r="BG52" s="49" t="str">
        <f t="shared" si="69"/>
        <v/>
      </c>
      <c r="BH52" s="49" t="str">
        <f t="shared" si="69"/>
        <v/>
      </c>
      <c r="BI52" s="49" t="str">
        <f t="shared" si="69"/>
        <v/>
      </c>
      <c r="BJ52" s="49" t="str">
        <f t="shared" si="69"/>
        <v/>
      </c>
      <c r="BK52" s="49" t="str">
        <f t="shared" si="69"/>
        <v/>
      </c>
      <c r="BL52" s="49" t="str">
        <f t="shared" si="69"/>
        <v/>
      </c>
      <c r="BM52" s="49" t="str">
        <f t="shared" si="69"/>
        <v/>
      </c>
      <c r="BN52" s="49" t="str">
        <f t="shared" si="69"/>
        <v/>
      </c>
      <c r="BO52" s="49" t="str">
        <f t="shared" si="69"/>
        <v/>
      </c>
      <c r="BP52" s="49" t="str">
        <f t="shared" si="69"/>
        <v/>
      </c>
      <c r="BQ52" s="49" t="str">
        <f t="shared" si="69"/>
        <v/>
      </c>
      <c r="BR52" s="49" t="str">
        <f t="shared" si="69"/>
        <v/>
      </c>
      <c r="BS52" s="49" t="str">
        <f t="shared" si="69"/>
        <v/>
      </c>
      <c r="BT52" s="49" t="str">
        <f t="shared" si="69"/>
        <v/>
      </c>
      <c r="BU52" s="49" t="str">
        <f t="shared" si="69"/>
        <v/>
      </c>
      <c r="BV52" s="49" t="str">
        <f t="shared" si="69"/>
        <v/>
      </c>
      <c r="BW52" s="49" t="str">
        <f t="shared" si="69"/>
        <v/>
      </c>
      <c r="BX52" s="49" t="str">
        <f t="shared" si="69"/>
        <v/>
      </c>
      <c r="BY52" s="49" t="str">
        <f t="shared" si="69"/>
        <v/>
      </c>
      <c r="BZ52" s="49" t="str">
        <f t="shared" si="69"/>
        <v/>
      </c>
      <c r="CA52" s="49" t="str">
        <f t="shared" si="69"/>
        <v/>
      </c>
      <c r="CB52" s="49" t="str">
        <f t="shared" si="69"/>
        <v/>
      </c>
      <c r="CC52" s="49" t="str">
        <f t="shared" si="69"/>
        <v/>
      </c>
      <c r="CD52" s="49" t="str">
        <f t="shared" si="69"/>
        <v/>
      </c>
      <c r="CE52" s="49" t="str">
        <f t="shared" si="69"/>
        <v/>
      </c>
      <c r="CF52" s="49" t="str">
        <f t="shared" si="69"/>
        <v/>
      </c>
      <c r="CG52" s="49" t="str">
        <f t="shared" si="69"/>
        <v/>
      </c>
      <c r="CH52" s="49" t="str">
        <f t="shared" si="69"/>
        <v/>
      </c>
      <c r="CI52" s="49" t="str">
        <f t="shared" si="69"/>
        <v/>
      </c>
      <c r="CJ52" s="49" t="str">
        <f t="shared" si="69"/>
        <v/>
      </c>
      <c r="CK52" s="49" t="str">
        <f t="shared" si="69"/>
        <v/>
      </c>
      <c r="CL52" s="49" t="str">
        <f t="shared" si="69"/>
        <v/>
      </c>
      <c r="CM52" s="49" t="str">
        <f t="shared" si="69"/>
        <v/>
      </c>
      <c r="CN52" s="49" t="str">
        <f t="shared" si="69"/>
        <v/>
      </c>
      <c r="CO52" s="49" t="str">
        <f t="shared" si="69"/>
        <v/>
      </c>
      <c r="CP52" s="49" t="str">
        <f t="shared" si="69"/>
        <v/>
      </c>
      <c r="CQ52" s="49" t="str">
        <f t="shared" si="69"/>
        <v/>
      </c>
      <c r="CR52" s="49" t="str">
        <f t="shared" si="69"/>
        <v/>
      </c>
      <c r="CS52" s="49" t="str">
        <f t="shared" si="69"/>
        <v/>
      </c>
      <c r="CT52" s="49" t="str">
        <f t="shared" si="69"/>
        <v/>
      </c>
      <c r="CU52" s="49" t="str">
        <f t="shared" si="69"/>
        <v/>
      </c>
      <c r="CV52" s="49" t="str">
        <f t="shared" si="69"/>
        <v/>
      </c>
      <c r="CW52" s="49" t="str">
        <f t="shared" si="69"/>
        <v/>
      </c>
      <c r="CX52" s="49" t="str">
        <f t="shared" si="69"/>
        <v/>
      </c>
      <c r="CY52" s="49" t="str">
        <f t="shared" si="69"/>
        <v/>
      </c>
      <c r="CZ52" s="49" t="str">
        <f t="shared" si="69"/>
        <v/>
      </c>
      <c r="DA52" s="49" t="str">
        <f t="shared" si="69"/>
        <v/>
      </c>
      <c r="DB52" s="49" t="str">
        <f t="shared" si="69"/>
        <v/>
      </c>
      <c r="DC52" s="49" t="str">
        <f t="shared" si="69"/>
        <v/>
      </c>
      <c r="DD52" s="49" t="str">
        <f t="shared" si="69"/>
        <v/>
      </c>
      <c r="DE52" s="49" t="str">
        <f t="shared" si="69"/>
        <v/>
      </c>
      <c r="DF52" s="49" t="str">
        <f t="shared" si="69"/>
        <v/>
      </c>
      <c r="DG52" s="49" t="str">
        <f t="shared" si="69"/>
        <v/>
      </c>
      <c r="DH52" s="49" t="str">
        <f t="shared" si="69"/>
        <v/>
      </c>
      <c r="DI52" s="49" t="str">
        <f t="shared" si="69"/>
        <v/>
      </c>
      <c r="DJ52" s="49" t="str">
        <f t="shared" si="69"/>
        <v/>
      </c>
    </row>
    <row r="53" spans="1:114" ht="15.75" customHeight="1" x14ac:dyDescent="0.55000000000000004">
      <c r="A53" s="41" t="e">
        <f>MASANIELLO!#REF!</f>
        <v>#REF!</v>
      </c>
      <c r="B53" s="41" t="e">
        <f t="shared" si="2"/>
        <v>#VALUE!</v>
      </c>
      <c r="C53" s="42" t="e">
        <f t="shared" si="3"/>
        <v>#VALUE!</v>
      </c>
      <c r="D53" s="42" t="e">
        <f t="shared" si="4"/>
        <v>#VALUE!</v>
      </c>
      <c r="E53" s="42" t="e">
        <f t="shared" si="5"/>
        <v>#VALUE!</v>
      </c>
      <c r="F53" s="42" t="e">
        <f t="shared" si="6"/>
        <v>#VALUE!</v>
      </c>
      <c r="G53" s="50" t="e">
        <f t="shared" si="7"/>
        <v>#VALUE!</v>
      </c>
      <c r="H53" s="41" t="e">
        <f t="shared" si="8"/>
        <v>#VALUE!</v>
      </c>
      <c r="I53" s="41" t="e">
        <f t="shared" si="9"/>
        <v>#VALUE!</v>
      </c>
      <c r="J53" s="45" t="e">
        <f t="shared" si="10"/>
        <v>#VALUE!</v>
      </c>
      <c r="M53" s="48" t="b">
        <f t="shared" si="11"/>
        <v>0</v>
      </c>
      <c r="N53" s="49" t="e">
        <f t="shared" ref="N53:DJ53" si="70">IF(N$1&gt;$L$2,   "",   IF(N$1=$L$2,  1,  IF($L$2-N$1=$L$1-$M53, $L$3^($L$1-$M53), ($L$3*N54*O54/(N54+($L$3-1)*O54) ))))</f>
        <v>#DIV/0!</v>
      </c>
      <c r="O53" s="49" t="e">
        <f t="shared" si="70"/>
        <v>#DIV/0!</v>
      </c>
      <c r="P53" s="49" t="e">
        <f t="shared" si="70"/>
        <v>#DIV/0!</v>
      </c>
      <c r="Q53" s="49" t="e">
        <f t="shared" si="70"/>
        <v>#DIV/0!</v>
      </c>
      <c r="R53" s="49">
        <f t="shared" si="70"/>
        <v>1</v>
      </c>
      <c r="S53" s="49" t="str">
        <f t="shared" si="70"/>
        <v/>
      </c>
      <c r="T53" s="49" t="str">
        <f t="shared" si="70"/>
        <v/>
      </c>
      <c r="U53" s="49" t="str">
        <f t="shared" si="70"/>
        <v/>
      </c>
      <c r="V53" s="49" t="str">
        <f t="shared" si="70"/>
        <v/>
      </c>
      <c r="W53" s="49" t="str">
        <f t="shared" si="70"/>
        <v/>
      </c>
      <c r="X53" s="49" t="str">
        <f t="shared" si="70"/>
        <v/>
      </c>
      <c r="Y53" s="49" t="str">
        <f t="shared" si="70"/>
        <v/>
      </c>
      <c r="Z53" s="49" t="str">
        <f t="shared" si="70"/>
        <v/>
      </c>
      <c r="AA53" s="49" t="str">
        <f t="shared" si="70"/>
        <v/>
      </c>
      <c r="AB53" s="49" t="str">
        <f t="shared" si="70"/>
        <v/>
      </c>
      <c r="AC53" s="49" t="str">
        <f t="shared" si="70"/>
        <v/>
      </c>
      <c r="AD53" s="49" t="str">
        <f t="shared" si="70"/>
        <v/>
      </c>
      <c r="AE53" s="49" t="str">
        <f t="shared" si="70"/>
        <v/>
      </c>
      <c r="AF53" s="49" t="str">
        <f t="shared" si="70"/>
        <v/>
      </c>
      <c r="AG53" s="49" t="str">
        <f t="shared" si="70"/>
        <v/>
      </c>
      <c r="AH53" s="49" t="str">
        <f t="shared" si="70"/>
        <v/>
      </c>
      <c r="AI53" s="49" t="str">
        <f t="shared" si="70"/>
        <v/>
      </c>
      <c r="AJ53" s="49" t="str">
        <f t="shared" si="70"/>
        <v/>
      </c>
      <c r="AK53" s="49" t="str">
        <f t="shared" si="70"/>
        <v/>
      </c>
      <c r="AL53" s="49" t="str">
        <f t="shared" si="70"/>
        <v/>
      </c>
      <c r="AM53" s="49" t="str">
        <f t="shared" si="70"/>
        <v/>
      </c>
      <c r="AN53" s="49" t="str">
        <f t="shared" si="70"/>
        <v/>
      </c>
      <c r="AO53" s="49" t="str">
        <f t="shared" si="70"/>
        <v/>
      </c>
      <c r="AP53" s="49" t="str">
        <f t="shared" si="70"/>
        <v/>
      </c>
      <c r="AQ53" s="49" t="str">
        <f t="shared" si="70"/>
        <v/>
      </c>
      <c r="AR53" s="49" t="str">
        <f t="shared" si="70"/>
        <v/>
      </c>
      <c r="AS53" s="49" t="str">
        <f t="shared" si="70"/>
        <v/>
      </c>
      <c r="AT53" s="49" t="str">
        <f t="shared" si="70"/>
        <v/>
      </c>
      <c r="AU53" s="49" t="str">
        <f t="shared" si="70"/>
        <v/>
      </c>
      <c r="AV53" s="49" t="str">
        <f t="shared" si="70"/>
        <v/>
      </c>
      <c r="AW53" s="49" t="str">
        <f t="shared" si="70"/>
        <v/>
      </c>
      <c r="AX53" s="49" t="str">
        <f t="shared" si="70"/>
        <v/>
      </c>
      <c r="AY53" s="49" t="str">
        <f t="shared" si="70"/>
        <v/>
      </c>
      <c r="AZ53" s="49" t="str">
        <f t="shared" si="70"/>
        <v/>
      </c>
      <c r="BA53" s="49" t="str">
        <f t="shared" si="70"/>
        <v/>
      </c>
      <c r="BB53" s="49" t="str">
        <f t="shared" si="70"/>
        <v/>
      </c>
      <c r="BC53" s="49" t="str">
        <f t="shared" si="70"/>
        <v/>
      </c>
      <c r="BD53" s="49" t="str">
        <f t="shared" si="70"/>
        <v/>
      </c>
      <c r="BE53" s="49" t="str">
        <f t="shared" si="70"/>
        <v/>
      </c>
      <c r="BF53" s="49" t="str">
        <f t="shared" si="70"/>
        <v/>
      </c>
      <c r="BG53" s="49" t="str">
        <f t="shared" si="70"/>
        <v/>
      </c>
      <c r="BH53" s="49" t="str">
        <f t="shared" si="70"/>
        <v/>
      </c>
      <c r="BI53" s="49" t="str">
        <f t="shared" si="70"/>
        <v/>
      </c>
      <c r="BJ53" s="49" t="str">
        <f t="shared" si="70"/>
        <v/>
      </c>
      <c r="BK53" s="49" t="str">
        <f t="shared" si="70"/>
        <v/>
      </c>
      <c r="BL53" s="49" t="str">
        <f t="shared" si="70"/>
        <v/>
      </c>
      <c r="BM53" s="49" t="str">
        <f t="shared" si="70"/>
        <v/>
      </c>
      <c r="BN53" s="49" t="str">
        <f t="shared" si="70"/>
        <v/>
      </c>
      <c r="BO53" s="49" t="str">
        <f t="shared" si="70"/>
        <v/>
      </c>
      <c r="BP53" s="49" t="str">
        <f t="shared" si="70"/>
        <v/>
      </c>
      <c r="BQ53" s="49" t="str">
        <f t="shared" si="70"/>
        <v/>
      </c>
      <c r="BR53" s="49" t="str">
        <f t="shared" si="70"/>
        <v/>
      </c>
      <c r="BS53" s="49" t="str">
        <f t="shared" si="70"/>
        <v/>
      </c>
      <c r="BT53" s="49" t="str">
        <f t="shared" si="70"/>
        <v/>
      </c>
      <c r="BU53" s="49" t="str">
        <f t="shared" si="70"/>
        <v/>
      </c>
      <c r="BV53" s="49" t="str">
        <f t="shared" si="70"/>
        <v/>
      </c>
      <c r="BW53" s="49" t="str">
        <f t="shared" si="70"/>
        <v/>
      </c>
      <c r="BX53" s="49" t="str">
        <f t="shared" si="70"/>
        <v/>
      </c>
      <c r="BY53" s="49" t="str">
        <f t="shared" si="70"/>
        <v/>
      </c>
      <c r="BZ53" s="49" t="str">
        <f t="shared" si="70"/>
        <v/>
      </c>
      <c r="CA53" s="49" t="str">
        <f t="shared" si="70"/>
        <v/>
      </c>
      <c r="CB53" s="49" t="str">
        <f t="shared" si="70"/>
        <v/>
      </c>
      <c r="CC53" s="49" t="str">
        <f t="shared" si="70"/>
        <v/>
      </c>
      <c r="CD53" s="49" t="str">
        <f t="shared" si="70"/>
        <v/>
      </c>
      <c r="CE53" s="49" t="str">
        <f t="shared" si="70"/>
        <v/>
      </c>
      <c r="CF53" s="49" t="str">
        <f t="shared" si="70"/>
        <v/>
      </c>
      <c r="CG53" s="49" t="str">
        <f t="shared" si="70"/>
        <v/>
      </c>
      <c r="CH53" s="49" t="str">
        <f t="shared" si="70"/>
        <v/>
      </c>
      <c r="CI53" s="49" t="str">
        <f t="shared" si="70"/>
        <v/>
      </c>
      <c r="CJ53" s="49" t="str">
        <f t="shared" si="70"/>
        <v/>
      </c>
      <c r="CK53" s="49" t="str">
        <f t="shared" si="70"/>
        <v/>
      </c>
      <c r="CL53" s="49" t="str">
        <f t="shared" si="70"/>
        <v/>
      </c>
      <c r="CM53" s="49" t="str">
        <f t="shared" si="70"/>
        <v/>
      </c>
      <c r="CN53" s="49" t="str">
        <f t="shared" si="70"/>
        <v/>
      </c>
      <c r="CO53" s="49" t="str">
        <f t="shared" si="70"/>
        <v/>
      </c>
      <c r="CP53" s="49" t="str">
        <f t="shared" si="70"/>
        <v/>
      </c>
      <c r="CQ53" s="49" t="str">
        <f t="shared" si="70"/>
        <v/>
      </c>
      <c r="CR53" s="49" t="str">
        <f t="shared" si="70"/>
        <v/>
      </c>
      <c r="CS53" s="49" t="str">
        <f t="shared" si="70"/>
        <v/>
      </c>
      <c r="CT53" s="49" t="str">
        <f t="shared" si="70"/>
        <v/>
      </c>
      <c r="CU53" s="49" t="str">
        <f t="shared" si="70"/>
        <v/>
      </c>
      <c r="CV53" s="49" t="str">
        <f t="shared" si="70"/>
        <v/>
      </c>
      <c r="CW53" s="49" t="str">
        <f t="shared" si="70"/>
        <v/>
      </c>
      <c r="CX53" s="49" t="str">
        <f t="shared" si="70"/>
        <v/>
      </c>
      <c r="CY53" s="49" t="str">
        <f t="shared" si="70"/>
        <v/>
      </c>
      <c r="CZ53" s="49" t="str">
        <f t="shared" si="70"/>
        <v/>
      </c>
      <c r="DA53" s="49" t="str">
        <f t="shared" si="70"/>
        <v/>
      </c>
      <c r="DB53" s="49" t="str">
        <f t="shared" si="70"/>
        <v/>
      </c>
      <c r="DC53" s="49" t="str">
        <f t="shared" si="70"/>
        <v/>
      </c>
      <c r="DD53" s="49" t="str">
        <f t="shared" si="70"/>
        <v/>
      </c>
      <c r="DE53" s="49" t="str">
        <f t="shared" si="70"/>
        <v/>
      </c>
      <c r="DF53" s="49" t="str">
        <f t="shared" si="70"/>
        <v/>
      </c>
      <c r="DG53" s="49" t="str">
        <f t="shared" si="70"/>
        <v/>
      </c>
      <c r="DH53" s="49" t="str">
        <f t="shared" si="70"/>
        <v/>
      </c>
      <c r="DI53" s="49" t="str">
        <f t="shared" si="70"/>
        <v/>
      </c>
      <c r="DJ53" s="49" t="str">
        <f t="shared" si="70"/>
        <v/>
      </c>
    </row>
    <row r="54" spans="1:114" ht="15.75" customHeight="1" x14ac:dyDescent="0.55000000000000004">
      <c r="A54" s="41" t="e">
        <f>MASANIELLO!#REF!</f>
        <v>#REF!</v>
      </c>
      <c r="B54" s="41" t="e">
        <f t="shared" si="2"/>
        <v>#VALUE!</v>
      </c>
      <c r="C54" s="42" t="e">
        <f t="shared" si="3"/>
        <v>#VALUE!</v>
      </c>
      <c r="D54" s="42" t="e">
        <f t="shared" si="4"/>
        <v>#VALUE!</v>
      </c>
      <c r="E54" s="42" t="e">
        <f t="shared" si="5"/>
        <v>#VALUE!</v>
      </c>
      <c r="F54" s="42" t="e">
        <f t="shared" si="6"/>
        <v>#VALUE!</v>
      </c>
      <c r="G54" s="50" t="e">
        <f t="shared" si="7"/>
        <v>#VALUE!</v>
      </c>
      <c r="H54" s="41" t="e">
        <f t="shared" si="8"/>
        <v>#VALUE!</v>
      </c>
      <c r="I54" s="41" t="e">
        <f t="shared" si="9"/>
        <v>#VALUE!</v>
      </c>
      <c r="J54" s="45" t="e">
        <f t="shared" si="10"/>
        <v>#VALUE!</v>
      </c>
      <c r="M54" s="48" t="b">
        <f t="shared" si="11"/>
        <v>0</v>
      </c>
      <c r="N54" s="49" t="e">
        <f t="shared" ref="N54:DJ54" si="71">IF(N$1&gt;$L$2,   "",   IF(N$1=$L$2,  1,  IF($L$2-N$1=$L$1-$M54, $L$3^($L$1-$M54), ($L$3*N55*O55/(N55+($L$3-1)*O55) ))))</f>
        <v>#DIV/0!</v>
      </c>
      <c r="O54" s="49" t="e">
        <f t="shared" si="71"/>
        <v>#DIV/0!</v>
      </c>
      <c r="P54" s="49" t="e">
        <f t="shared" si="71"/>
        <v>#DIV/0!</v>
      </c>
      <c r="Q54" s="49" t="e">
        <f t="shared" si="71"/>
        <v>#DIV/0!</v>
      </c>
      <c r="R54" s="49">
        <f t="shared" si="71"/>
        <v>1</v>
      </c>
      <c r="S54" s="49" t="str">
        <f t="shared" si="71"/>
        <v/>
      </c>
      <c r="T54" s="49" t="str">
        <f t="shared" si="71"/>
        <v/>
      </c>
      <c r="U54" s="49" t="str">
        <f t="shared" si="71"/>
        <v/>
      </c>
      <c r="V54" s="49" t="str">
        <f t="shared" si="71"/>
        <v/>
      </c>
      <c r="W54" s="49" t="str">
        <f t="shared" si="71"/>
        <v/>
      </c>
      <c r="X54" s="49" t="str">
        <f t="shared" si="71"/>
        <v/>
      </c>
      <c r="Y54" s="49" t="str">
        <f t="shared" si="71"/>
        <v/>
      </c>
      <c r="Z54" s="49" t="str">
        <f t="shared" si="71"/>
        <v/>
      </c>
      <c r="AA54" s="49" t="str">
        <f t="shared" si="71"/>
        <v/>
      </c>
      <c r="AB54" s="49" t="str">
        <f t="shared" si="71"/>
        <v/>
      </c>
      <c r="AC54" s="49" t="str">
        <f t="shared" si="71"/>
        <v/>
      </c>
      <c r="AD54" s="49" t="str">
        <f t="shared" si="71"/>
        <v/>
      </c>
      <c r="AE54" s="49" t="str">
        <f t="shared" si="71"/>
        <v/>
      </c>
      <c r="AF54" s="49" t="str">
        <f t="shared" si="71"/>
        <v/>
      </c>
      <c r="AG54" s="49" t="str">
        <f t="shared" si="71"/>
        <v/>
      </c>
      <c r="AH54" s="49" t="str">
        <f t="shared" si="71"/>
        <v/>
      </c>
      <c r="AI54" s="49" t="str">
        <f t="shared" si="71"/>
        <v/>
      </c>
      <c r="AJ54" s="49" t="str">
        <f t="shared" si="71"/>
        <v/>
      </c>
      <c r="AK54" s="49" t="str">
        <f t="shared" si="71"/>
        <v/>
      </c>
      <c r="AL54" s="49" t="str">
        <f t="shared" si="71"/>
        <v/>
      </c>
      <c r="AM54" s="49" t="str">
        <f t="shared" si="71"/>
        <v/>
      </c>
      <c r="AN54" s="49" t="str">
        <f t="shared" si="71"/>
        <v/>
      </c>
      <c r="AO54" s="49" t="str">
        <f t="shared" si="71"/>
        <v/>
      </c>
      <c r="AP54" s="49" t="str">
        <f t="shared" si="71"/>
        <v/>
      </c>
      <c r="AQ54" s="49" t="str">
        <f t="shared" si="71"/>
        <v/>
      </c>
      <c r="AR54" s="49" t="str">
        <f t="shared" si="71"/>
        <v/>
      </c>
      <c r="AS54" s="49" t="str">
        <f t="shared" si="71"/>
        <v/>
      </c>
      <c r="AT54" s="49" t="str">
        <f t="shared" si="71"/>
        <v/>
      </c>
      <c r="AU54" s="49" t="str">
        <f t="shared" si="71"/>
        <v/>
      </c>
      <c r="AV54" s="49" t="str">
        <f t="shared" si="71"/>
        <v/>
      </c>
      <c r="AW54" s="49" t="str">
        <f t="shared" si="71"/>
        <v/>
      </c>
      <c r="AX54" s="49" t="str">
        <f t="shared" si="71"/>
        <v/>
      </c>
      <c r="AY54" s="49" t="str">
        <f t="shared" si="71"/>
        <v/>
      </c>
      <c r="AZ54" s="49" t="str">
        <f t="shared" si="71"/>
        <v/>
      </c>
      <c r="BA54" s="49" t="str">
        <f t="shared" si="71"/>
        <v/>
      </c>
      <c r="BB54" s="49" t="str">
        <f t="shared" si="71"/>
        <v/>
      </c>
      <c r="BC54" s="49" t="str">
        <f t="shared" si="71"/>
        <v/>
      </c>
      <c r="BD54" s="49" t="str">
        <f t="shared" si="71"/>
        <v/>
      </c>
      <c r="BE54" s="49" t="str">
        <f t="shared" si="71"/>
        <v/>
      </c>
      <c r="BF54" s="49" t="str">
        <f t="shared" si="71"/>
        <v/>
      </c>
      <c r="BG54" s="49" t="str">
        <f t="shared" si="71"/>
        <v/>
      </c>
      <c r="BH54" s="49" t="str">
        <f t="shared" si="71"/>
        <v/>
      </c>
      <c r="BI54" s="49" t="str">
        <f t="shared" si="71"/>
        <v/>
      </c>
      <c r="BJ54" s="49" t="str">
        <f t="shared" si="71"/>
        <v/>
      </c>
      <c r="BK54" s="49" t="str">
        <f t="shared" si="71"/>
        <v/>
      </c>
      <c r="BL54" s="49" t="str">
        <f t="shared" si="71"/>
        <v/>
      </c>
      <c r="BM54" s="49" t="str">
        <f t="shared" si="71"/>
        <v/>
      </c>
      <c r="BN54" s="49" t="str">
        <f t="shared" si="71"/>
        <v/>
      </c>
      <c r="BO54" s="49" t="str">
        <f t="shared" si="71"/>
        <v/>
      </c>
      <c r="BP54" s="49" t="str">
        <f t="shared" si="71"/>
        <v/>
      </c>
      <c r="BQ54" s="49" t="str">
        <f t="shared" si="71"/>
        <v/>
      </c>
      <c r="BR54" s="49" t="str">
        <f t="shared" si="71"/>
        <v/>
      </c>
      <c r="BS54" s="49" t="str">
        <f t="shared" si="71"/>
        <v/>
      </c>
      <c r="BT54" s="49" t="str">
        <f t="shared" si="71"/>
        <v/>
      </c>
      <c r="BU54" s="49" t="str">
        <f t="shared" si="71"/>
        <v/>
      </c>
      <c r="BV54" s="49" t="str">
        <f t="shared" si="71"/>
        <v/>
      </c>
      <c r="BW54" s="49" t="str">
        <f t="shared" si="71"/>
        <v/>
      </c>
      <c r="BX54" s="49" t="str">
        <f t="shared" si="71"/>
        <v/>
      </c>
      <c r="BY54" s="49" t="str">
        <f t="shared" si="71"/>
        <v/>
      </c>
      <c r="BZ54" s="49" t="str">
        <f t="shared" si="71"/>
        <v/>
      </c>
      <c r="CA54" s="49" t="str">
        <f t="shared" si="71"/>
        <v/>
      </c>
      <c r="CB54" s="49" t="str">
        <f t="shared" si="71"/>
        <v/>
      </c>
      <c r="CC54" s="49" t="str">
        <f t="shared" si="71"/>
        <v/>
      </c>
      <c r="CD54" s="49" t="str">
        <f t="shared" si="71"/>
        <v/>
      </c>
      <c r="CE54" s="49" t="str">
        <f t="shared" si="71"/>
        <v/>
      </c>
      <c r="CF54" s="49" t="str">
        <f t="shared" si="71"/>
        <v/>
      </c>
      <c r="CG54" s="49" t="str">
        <f t="shared" si="71"/>
        <v/>
      </c>
      <c r="CH54" s="49" t="str">
        <f t="shared" si="71"/>
        <v/>
      </c>
      <c r="CI54" s="49" t="str">
        <f t="shared" si="71"/>
        <v/>
      </c>
      <c r="CJ54" s="49" t="str">
        <f t="shared" si="71"/>
        <v/>
      </c>
      <c r="CK54" s="49" t="str">
        <f t="shared" si="71"/>
        <v/>
      </c>
      <c r="CL54" s="49" t="str">
        <f t="shared" si="71"/>
        <v/>
      </c>
      <c r="CM54" s="49" t="str">
        <f t="shared" si="71"/>
        <v/>
      </c>
      <c r="CN54" s="49" t="str">
        <f t="shared" si="71"/>
        <v/>
      </c>
      <c r="CO54" s="49" t="str">
        <f t="shared" si="71"/>
        <v/>
      </c>
      <c r="CP54" s="49" t="str">
        <f t="shared" si="71"/>
        <v/>
      </c>
      <c r="CQ54" s="49" t="str">
        <f t="shared" si="71"/>
        <v/>
      </c>
      <c r="CR54" s="49" t="str">
        <f t="shared" si="71"/>
        <v/>
      </c>
      <c r="CS54" s="49" t="str">
        <f t="shared" si="71"/>
        <v/>
      </c>
      <c r="CT54" s="49" t="str">
        <f t="shared" si="71"/>
        <v/>
      </c>
      <c r="CU54" s="49" t="str">
        <f t="shared" si="71"/>
        <v/>
      </c>
      <c r="CV54" s="49" t="str">
        <f t="shared" si="71"/>
        <v/>
      </c>
      <c r="CW54" s="49" t="str">
        <f t="shared" si="71"/>
        <v/>
      </c>
      <c r="CX54" s="49" t="str">
        <f t="shared" si="71"/>
        <v/>
      </c>
      <c r="CY54" s="49" t="str">
        <f t="shared" si="71"/>
        <v/>
      </c>
      <c r="CZ54" s="49" t="str">
        <f t="shared" si="71"/>
        <v/>
      </c>
      <c r="DA54" s="49" t="str">
        <f t="shared" si="71"/>
        <v/>
      </c>
      <c r="DB54" s="49" t="str">
        <f t="shared" si="71"/>
        <v/>
      </c>
      <c r="DC54" s="49" t="str">
        <f t="shared" si="71"/>
        <v/>
      </c>
      <c r="DD54" s="49" t="str">
        <f t="shared" si="71"/>
        <v/>
      </c>
      <c r="DE54" s="49" t="str">
        <f t="shared" si="71"/>
        <v/>
      </c>
      <c r="DF54" s="49" t="str">
        <f t="shared" si="71"/>
        <v/>
      </c>
      <c r="DG54" s="49" t="str">
        <f t="shared" si="71"/>
        <v/>
      </c>
      <c r="DH54" s="49" t="str">
        <f t="shared" si="71"/>
        <v/>
      </c>
      <c r="DI54" s="49" t="str">
        <f t="shared" si="71"/>
        <v/>
      </c>
      <c r="DJ54" s="49" t="str">
        <f t="shared" si="71"/>
        <v/>
      </c>
    </row>
    <row r="55" spans="1:114" ht="15.75" customHeight="1" x14ac:dyDescent="0.55000000000000004">
      <c r="A55" s="41" t="e">
        <f>MASANIELLO!#REF!</f>
        <v>#REF!</v>
      </c>
      <c r="B55" s="41" t="e">
        <f t="shared" si="2"/>
        <v>#VALUE!</v>
      </c>
      <c r="C55" s="42" t="e">
        <f t="shared" si="3"/>
        <v>#VALUE!</v>
      </c>
      <c r="D55" s="42" t="e">
        <f t="shared" si="4"/>
        <v>#VALUE!</v>
      </c>
      <c r="E55" s="42" t="e">
        <f t="shared" si="5"/>
        <v>#VALUE!</v>
      </c>
      <c r="F55" s="42" t="e">
        <f t="shared" si="6"/>
        <v>#VALUE!</v>
      </c>
      <c r="G55" s="50" t="e">
        <f t="shared" si="7"/>
        <v>#VALUE!</v>
      </c>
      <c r="H55" s="41" t="e">
        <f t="shared" si="8"/>
        <v>#VALUE!</v>
      </c>
      <c r="I55" s="41" t="e">
        <f t="shared" si="9"/>
        <v>#VALUE!</v>
      </c>
      <c r="J55" s="45" t="e">
        <f t="shared" si="10"/>
        <v>#VALUE!</v>
      </c>
      <c r="M55" s="48" t="b">
        <f t="shared" si="11"/>
        <v>0</v>
      </c>
      <c r="N55" s="49" t="e">
        <f t="shared" ref="N55:DJ55" si="72">IF(N$1&gt;$L$2,   "",   IF(N$1=$L$2,  1,  IF($L$2-N$1=$L$1-$M55, $L$3^($L$1-$M55), ($L$3*N56*O56/(N56+($L$3-1)*O56) ))))</f>
        <v>#DIV/0!</v>
      </c>
      <c r="O55" s="49" t="e">
        <f t="shared" si="72"/>
        <v>#DIV/0!</v>
      </c>
      <c r="P55" s="49" t="e">
        <f t="shared" si="72"/>
        <v>#DIV/0!</v>
      </c>
      <c r="Q55" s="49" t="e">
        <f t="shared" si="72"/>
        <v>#DIV/0!</v>
      </c>
      <c r="R55" s="49">
        <f t="shared" si="72"/>
        <v>1</v>
      </c>
      <c r="S55" s="49" t="str">
        <f t="shared" si="72"/>
        <v/>
      </c>
      <c r="T55" s="49" t="str">
        <f t="shared" si="72"/>
        <v/>
      </c>
      <c r="U55" s="49" t="str">
        <f t="shared" si="72"/>
        <v/>
      </c>
      <c r="V55" s="49" t="str">
        <f t="shared" si="72"/>
        <v/>
      </c>
      <c r="W55" s="49" t="str">
        <f t="shared" si="72"/>
        <v/>
      </c>
      <c r="X55" s="49" t="str">
        <f t="shared" si="72"/>
        <v/>
      </c>
      <c r="Y55" s="49" t="str">
        <f t="shared" si="72"/>
        <v/>
      </c>
      <c r="Z55" s="49" t="str">
        <f t="shared" si="72"/>
        <v/>
      </c>
      <c r="AA55" s="49" t="str">
        <f t="shared" si="72"/>
        <v/>
      </c>
      <c r="AB55" s="49" t="str">
        <f t="shared" si="72"/>
        <v/>
      </c>
      <c r="AC55" s="49" t="str">
        <f t="shared" si="72"/>
        <v/>
      </c>
      <c r="AD55" s="49" t="str">
        <f t="shared" si="72"/>
        <v/>
      </c>
      <c r="AE55" s="49" t="str">
        <f t="shared" si="72"/>
        <v/>
      </c>
      <c r="AF55" s="49" t="str">
        <f t="shared" si="72"/>
        <v/>
      </c>
      <c r="AG55" s="49" t="str">
        <f t="shared" si="72"/>
        <v/>
      </c>
      <c r="AH55" s="49" t="str">
        <f t="shared" si="72"/>
        <v/>
      </c>
      <c r="AI55" s="49" t="str">
        <f t="shared" si="72"/>
        <v/>
      </c>
      <c r="AJ55" s="49" t="str">
        <f t="shared" si="72"/>
        <v/>
      </c>
      <c r="AK55" s="49" t="str">
        <f t="shared" si="72"/>
        <v/>
      </c>
      <c r="AL55" s="49" t="str">
        <f t="shared" si="72"/>
        <v/>
      </c>
      <c r="AM55" s="49" t="str">
        <f t="shared" si="72"/>
        <v/>
      </c>
      <c r="AN55" s="49" t="str">
        <f t="shared" si="72"/>
        <v/>
      </c>
      <c r="AO55" s="49" t="str">
        <f t="shared" si="72"/>
        <v/>
      </c>
      <c r="AP55" s="49" t="str">
        <f t="shared" si="72"/>
        <v/>
      </c>
      <c r="AQ55" s="49" t="str">
        <f t="shared" si="72"/>
        <v/>
      </c>
      <c r="AR55" s="49" t="str">
        <f t="shared" si="72"/>
        <v/>
      </c>
      <c r="AS55" s="49" t="str">
        <f t="shared" si="72"/>
        <v/>
      </c>
      <c r="AT55" s="49" t="str">
        <f t="shared" si="72"/>
        <v/>
      </c>
      <c r="AU55" s="49" t="str">
        <f t="shared" si="72"/>
        <v/>
      </c>
      <c r="AV55" s="49" t="str">
        <f t="shared" si="72"/>
        <v/>
      </c>
      <c r="AW55" s="49" t="str">
        <f t="shared" si="72"/>
        <v/>
      </c>
      <c r="AX55" s="49" t="str">
        <f t="shared" si="72"/>
        <v/>
      </c>
      <c r="AY55" s="49" t="str">
        <f t="shared" si="72"/>
        <v/>
      </c>
      <c r="AZ55" s="49" t="str">
        <f t="shared" si="72"/>
        <v/>
      </c>
      <c r="BA55" s="49" t="str">
        <f t="shared" si="72"/>
        <v/>
      </c>
      <c r="BB55" s="49" t="str">
        <f t="shared" si="72"/>
        <v/>
      </c>
      <c r="BC55" s="49" t="str">
        <f t="shared" si="72"/>
        <v/>
      </c>
      <c r="BD55" s="49" t="str">
        <f t="shared" si="72"/>
        <v/>
      </c>
      <c r="BE55" s="49" t="str">
        <f t="shared" si="72"/>
        <v/>
      </c>
      <c r="BF55" s="49" t="str">
        <f t="shared" si="72"/>
        <v/>
      </c>
      <c r="BG55" s="49" t="str">
        <f t="shared" si="72"/>
        <v/>
      </c>
      <c r="BH55" s="49" t="str">
        <f t="shared" si="72"/>
        <v/>
      </c>
      <c r="BI55" s="49" t="str">
        <f t="shared" si="72"/>
        <v/>
      </c>
      <c r="BJ55" s="49" t="str">
        <f t="shared" si="72"/>
        <v/>
      </c>
      <c r="BK55" s="49" t="str">
        <f t="shared" si="72"/>
        <v/>
      </c>
      <c r="BL55" s="49" t="str">
        <f t="shared" si="72"/>
        <v/>
      </c>
      <c r="BM55" s="49" t="str">
        <f t="shared" si="72"/>
        <v/>
      </c>
      <c r="BN55" s="49" t="str">
        <f t="shared" si="72"/>
        <v/>
      </c>
      <c r="BO55" s="49" t="str">
        <f t="shared" si="72"/>
        <v/>
      </c>
      <c r="BP55" s="49" t="str">
        <f t="shared" si="72"/>
        <v/>
      </c>
      <c r="BQ55" s="49" t="str">
        <f t="shared" si="72"/>
        <v/>
      </c>
      <c r="BR55" s="49" t="str">
        <f t="shared" si="72"/>
        <v/>
      </c>
      <c r="BS55" s="49" t="str">
        <f t="shared" si="72"/>
        <v/>
      </c>
      <c r="BT55" s="49" t="str">
        <f t="shared" si="72"/>
        <v/>
      </c>
      <c r="BU55" s="49" t="str">
        <f t="shared" si="72"/>
        <v/>
      </c>
      <c r="BV55" s="49" t="str">
        <f t="shared" si="72"/>
        <v/>
      </c>
      <c r="BW55" s="49" t="str">
        <f t="shared" si="72"/>
        <v/>
      </c>
      <c r="BX55" s="49" t="str">
        <f t="shared" si="72"/>
        <v/>
      </c>
      <c r="BY55" s="49" t="str">
        <f t="shared" si="72"/>
        <v/>
      </c>
      <c r="BZ55" s="49" t="str">
        <f t="shared" si="72"/>
        <v/>
      </c>
      <c r="CA55" s="49" t="str">
        <f t="shared" si="72"/>
        <v/>
      </c>
      <c r="CB55" s="49" t="str">
        <f t="shared" si="72"/>
        <v/>
      </c>
      <c r="CC55" s="49" t="str">
        <f t="shared" si="72"/>
        <v/>
      </c>
      <c r="CD55" s="49" t="str">
        <f t="shared" si="72"/>
        <v/>
      </c>
      <c r="CE55" s="49" t="str">
        <f t="shared" si="72"/>
        <v/>
      </c>
      <c r="CF55" s="49" t="str">
        <f t="shared" si="72"/>
        <v/>
      </c>
      <c r="CG55" s="49" t="str">
        <f t="shared" si="72"/>
        <v/>
      </c>
      <c r="CH55" s="49" t="str">
        <f t="shared" si="72"/>
        <v/>
      </c>
      <c r="CI55" s="49" t="str">
        <f t="shared" si="72"/>
        <v/>
      </c>
      <c r="CJ55" s="49" t="str">
        <f t="shared" si="72"/>
        <v/>
      </c>
      <c r="CK55" s="49" t="str">
        <f t="shared" si="72"/>
        <v/>
      </c>
      <c r="CL55" s="49" t="str">
        <f t="shared" si="72"/>
        <v/>
      </c>
      <c r="CM55" s="49" t="str">
        <f t="shared" si="72"/>
        <v/>
      </c>
      <c r="CN55" s="49" t="str">
        <f t="shared" si="72"/>
        <v/>
      </c>
      <c r="CO55" s="49" t="str">
        <f t="shared" si="72"/>
        <v/>
      </c>
      <c r="CP55" s="49" t="str">
        <f t="shared" si="72"/>
        <v/>
      </c>
      <c r="CQ55" s="49" t="str">
        <f t="shared" si="72"/>
        <v/>
      </c>
      <c r="CR55" s="49" t="str">
        <f t="shared" si="72"/>
        <v/>
      </c>
      <c r="CS55" s="49" t="str">
        <f t="shared" si="72"/>
        <v/>
      </c>
      <c r="CT55" s="49" t="str">
        <f t="shared" si="72"/>
        <v/>
      </c>
      <c r="CU55" s="49" t="str">
        <f t="shared" si="72"/>
        <v/>
      </c>
      <c r="CV55" s="49" t="str">
        <f t="shared" si="72"/>
        <v/>
      </c>
      <c r="CW55" s="49" t="str">
        <f t="shared" si="72"/>
        <v/>
      </c>
      <c r="CX55" s="49" t="str">
        <f t="shared" si="72"/>
        <v/>
      </c>
      <c r="CY55" s="49" t="str">
        <f t="shared" si="72"/>
        <v/>
      </c>
      <c r="CZ55" s="49" t="str">
        <f t="shared" si="72"/>
        <v/>
      </c>
      <c r="DA55" s="49" t="str">
        <f t="shared" si="72"/>
        <v/>
      </c>
      <c r="DB55" s="49" t="str">
        <f t="shared" si="72"/>
        <v/>
      </c>
      <c r="DC55" s="49" t="str">
        <f t="shared" si="72"/>
        <v/>
      </c>
      <c r="DD55" s="49" t="str">
        <f t="shared" si="72"/>
        <v/>
      </c>
      <c r="DE55" s="49" t="str">
        <f t="shared" si="72"/>
        <v/>
      </c>
      <c r="DF55" s="49" t="str">
        <f t="shared" si="72"/>
        <v/>
      </c>
      <c r="DG55" s="49" t="str">
        <f t="shared" si="72"/>
        <v/>
      </c>
      <c r="DH55" s="49" t="str">
        <f t="shared" si="72"/>
        <v/>
      </c>
      <c r="DI55" s="49" t="str">
        <f t="shared" si="72"/>
        <v/>
      </c>
      <c r="DJ55" s="49" t="str">
        <f t="shared" si="72"/>
        <v/>
      </c>
    </row>
    <row r="56" spans="1:114" ht="15.75" customHeight="1" x14ac:dyDescent="0.55000000000000004">
      <c r="A56" s="41" t="e">
        <f>MASANIELLO!#REF!</f>
        <v>#REF!</v>
      </c>
      <c r="B56" s="41" t="e">
        <f t="shared" si="2"/>
        <v>#VALUE!</v>
      </c>
      <c r="C56" s="42" t="e">
        <f t="shared" si="3"/>
        <v>#VALUE!</v>
      </c>
      <c r="D56" s="42" t="e">
        <f t="shared" si="4"/>
        <v>#VALUE!</v>
      </c>
      <c r="E56" s="42" t="e">
        <f t="shared" si="5"/>
        <v>#VALUE!</v>
      </c>
      <c r="F56" s="42" t="e">
        <f t="shared" si="6"/>
        <v>#VALUE!</v>
      </c>
      <c r="G56" s="50" t="e">
        <f t="shared" si="7"/>
        <v>#VALUE!</v>
      </c>
      <c r="H56" s="41" t="e">
        <f t="shared" si="8"/>
        <v>#VALUE!</v>
      </c>
      <c r="I56" s="41" t="e">
        <f t="shared" si="9"/>
        <v>#VALUE!</v>
      </c>
      <c r="J56" s="45" t="e">
        <f t="shared" si="10"/>
        <v>#VALUE!</v>
      </c>
      <c r="M56" s="48" t="b">
        <f t="shared" si="11"/>
        <v>0</v>
      </c>
      <c r="N56" s="49" t="e">
        <f t="shared" ref="N56:DJ56" si="73">IF(N$1&gt;$L$2,   "",   IF(N$1=$L$2,  1,  IF($L$2-N$1=$L$1-$M56, $L$3^($L$1-$M56), ($L$3*N57*O57/(N57+($L$3-1)*O57) ))))</f>
        <v>#DIV/0!</v>
      </c>
      <c r="O56" s="49" t="e">
        <f t="shared" si="73"/>
        <v>#DIV/0!</v>
      </c>
      <c r="P56" s="49" t="e">
        <f t="shared" si="73"/>
        <v>#DIV/0!</v>
      </c>
      <c r="Q56" s="49" t="e">
        <f t="shared" si="73"/>
        <v>#DIV/0!</v>
      </c>
      <c r="R56" s="49">
        <f t="shared" si="73"/>
        <v>1</v>
      </c>
      <c r="S56" s="49" t="str">
        <f t="shared" si="73"/>
        <v/>
      </c>
      <c r="T56" s="49" t="str">
        <f t="shared" si="73"/>
        <v/>
      </c>
      <c r="U56" s="49" t="str">
        <f t="shared" si="73"/>
        <v/>
      </c>
      <c r="V56" s="49" t="str">
        <f t="shared" si="73"/>
        <v/>
      </c>
      <c r="W56" s="49" t="str">
        <f t="shared" si="73"/>
        <v/>
      </c>
      <c r="X56" s="49" t="str">
        <f t="shared" si="73"/>
        <v/>
      </c>
      <c r="Y56" s="49" t="str">
        <f t="shared" si="73"/>
        <v/>
      </c>
      <c r="Z56" s="49" t="str">
        <f t="shared" si="73"/>
        <v/>
      </c>
      <c r="AA56" s="49" t="str">
        <f t="shared" si="73"/>
        <v/>
      </c>
      <c r="AB56" s="49" t="str">
        <f t="shared" si="73"/>
        <v/>
      </c>
      <c r="AC56" s="49" t="str">
        <f t="shared" si="73"/>
        <v/>
      </c>
      <c r="AD56" s="49" t="str">
        <f t="shared" si="73"/>
        <v/>
      </c>
      <c r="AE56" s="49" t="str">
        <f t="shared" si="73"/>
        <v/>
      </c>
      <c r="AF56" s="49" t="str">
        <f t="shared" si="73"/>
        <v/>
      </c>
      <c r="AG56" s="49" t="str">
        <f t="shared" si="73"/>
        <v/>
      </c>
      <c r="AH56" s="49" t="str">
        <f t="shared" si="73"/>
        <v/>
      </c>
      <c r="AI56" s="49" t="str">
        <f t="shared" si="73"/>
        <v/>
      </c>
      <c r="AJ56" s="49" t="str">
        <f t="shared" si="73"/>
        <v/>
      </c>
      <c r="AK56" s="49" t="str">
        <f t="shared" si="73"/>
        <v/>
      </c>
      <c r="AL56" s="49" t="str">
        <f t="shared" si="73"/>
        <v/>
      </c>
      <c r="AM56" s="49" t="str">
        <f t="shared" si="73"/>
        <v/>
      </c>
      <c r="AN56" s="49" t="str">
        <f t="shared" si="73"/>
        <v/>
      </c>
      <c r="AO56" s="49" t="str">
        <f t="shared" si="73"/>
        <v/>
      </c>
      <c r="AP56" s="49" t="str">
        <f t="shared" si="73"/>
        <v/>
      </c>
      <c r="AQ56" s="49" t="str">
        <f t="shared" si="73"/>
        <v/>
      </c>
      <c r="AR56" s="49" t="str">
        <f t="shared" si="73"/>
        <v/>
      </c>
      <c r="AS56" s="49" t="str">
        <f t="shared" si="73"/>
        <v/>
      </c>
      <c r="AT56" s="49" t="str">
        <f t="shared" si="73"/>
        <v/>
      </c>
      <c r="AU56" s="49" t="str">
        <f t="shared" si="73"/>
        <v/>
      </c>
      <c r="AV56" s="49" t="str">
        <f t="shared" si="73"/>
        <v/>
      </c>
      <c r="AW56" s="49" t="str">
        <f t="shared" si="73"/>
        <v/>
      </c>
      <c r="AX56" s="49" t="str">
        <f t="shared" si="73"/>
        <v/>
      </c>
      <c r="AY56" s="49" t="str">
        <f t="shared" si="73"/>
        <v/>
      </c>
      <c r="AZ56" s="49" t="str">
        <f t="shared" si="73"/>
        <v/>
      </c>
      <c r="BA56" s="49" t="str">
        <f t="shared" si="73"/>
        <v/>
      </c>
      <c r="BB56" s="49" t="str">
        <f t="shared" si="73"/>
        <v/>
      </c>
      <c r="BC56" s="49" t="str">
        <f t="shared" si="73"/>
        <v/>
      </c>
      <c r="BD56" s="49" t="str">
        <f t="shared" si="73"/>
        <v/>
      </c>
      <c r="BE56" s="49" t="str">
        <f t="shared" si="73"/>
        <v/>
      </c>
      <c r="BF56" s="49" t="str">
        <f t="shared" si="73"/>
        <v/>
      </c>
      <c r="BG56" s="49" t="str">
        <f t="shared" si="73"/>
        <v/>
      </c>
      <c r="BH56" s="49" t="str">
        <f t="shared" si="73"/>
        <v/>
      </c>
      <c r="BI56" s="49" t="str">
        <f t="shared" si="73"/>
        <v/>
      </c>
      <c r="BJ56" s="49" t="str">
        <f t="shared" si="73"/>
        <v/>
      </c>
      <c r="BK56" s="49" t="str">
        <f t="shared" si="73"/>
        <v/>
      </c>
      <c r="BL56" s="49" t="str">
        <f t="shared" si="73"/>
        <v/>
      </c>
      <c r="BM56" s="49" t="str">
        <f t="shared" si="73"/>
        <v/>
      </c>
      <c r="BN56" s="49" t="str">
        <f t="shared" si="73"/>
        <v/>
      </c>
      <c r="BO56" s="49" t="str">
        <f t="shared" si="73"/>
        <v/>
      </c>
      <c r="BP56" s="49" t="str">
        <f t="shared" si="73"/>
        <v/>
      </c>
      <c r="BQ56" s="49" t="str">
        <f t="shared" si="73"/>
        <v/>
      </c>
      <c r="BR56" s="49" t="str">
        <f t="shared" si="73"/>
        <v/>
      </c>
      <c r="BS56" s="49" t="str">
        <f t="shared" si="73"/>
        <v/>
      </c>
      <c r="BT56" s="49" t="str">
        <f t="shared" si="73"/>
        <v/>
      </c>
      <c r="BU56" s="49" t="str">
        <f t="shared" si="73"/>
        <v/>
      </c>
      <c r="BV56" s="49" t="str">
        <f t="shared" si="73"/>
        <v/>
      </c>
      <c r="BW56" s="49" t="str">
        <f t="shared" si="73"/>
        <v/>
      </c>
      <c r="BX56" s="49" t="str">
        <f t="shared" si="73"/>
        <v/>
      </c>
      <c r="BY56" s="49" t="str">
        <f t="shared" si="73"/>
        <v/>
      </c>
      <c r="BZ56" s="49" t="str">
        <f t="shared" si="73"/>
        <v/>
      </c>
      <c r="CA56" s="49" t="str">
        <f t="shared" si="73"/>
        <v/>
      </c>
      <c r="CB56" s="49" t="str">
        <f t="shared" si="73"/>
        <v/>
      </c>
      <c r="CC56" s="49" t="str">
        <f t="shared" si="73"/>
        <v/>
      </c>
      <c r="CD56" s="49" t="str">
        <f t="shared" si="73"/>
        <v/>
      </c>
      <c r="CE56" s="49" t="str">
        <f t="shared" si="73"/>
        <v/>
      </c>
      <c r="CF56" s="49" t="str">
        <f t="shared" si="73"/>
        <v/>
      </c>
      <c r="CG56" s="49" t="str">
        <f t="shared" si="73"/>
        <v/>
      </c>
      <c r="CH56" s="49" t="str">
        <f t="shared" si="73"/>
        <v/>
      </c>
      <c r="CI56" s="49" t="str">
        <f t="shared" si="73"/>
        <v/>
      </c>
      <c r="CJ56" s="49" t="str">
        <f t="shared" si="73"/>
        <v/>
      </c>
      <c r="CK56" s="49" t="str">
        <f t="shared" si="73"/>
        <v/>
      </c>
      <c r="CL56" s="49" t="str">
        <f t="shared" si="73"/>
        <v/>
      </c>
      <c r="CM56" s="49" t="str">
        <f t="shared" si="73"/>
        <v/>
      </c>
      <c r="CN56" s="49" t="str">
        <f t="shared" si="73"/>
        <v/>
      </c>
      <c r="CO56" s="49" t="str">
        <f t="shared" si="73"/>
        <v/>
      </c>
      <c r="CP56" s="49" t="str">
        <f t="shared" si="73"/>
        <v/>
      </c>
      <c r="CQ56" s="49" t="str">
        <f t="shared" si="73"/>
        <v/>
      </c>
      <c r="CR56" s="49" t="str">
        <f t="shared" si="73"/>
        <v/>
      </c>
      <c r="CS56" s="49" t="str">
        <f t="shared" si="73"/>
        <v/>
      </c>
      <c r="CT56" s="49" t="str">
        <f t="shared" si="73"/>
        <v/>
      </c>
      <c r="CU56" s="49" t="str">
        <f t="shared" si="73"/>
        <v/>
      </c>
      <c r="CV56" s="49" t="str">
        <f t="shared" si="73"/>
        <v/>
      </c>
      <c r="CW56" s="49" t="str">
        <f t="shared" si="73"/>
        <v/>
      </c>
      <c r="CX56" s="49" t="str">
        <f t="shared" si="73"/>
        <v/>
      </c>
      <c r="CY56" s="49" t="str">
        <f t="shared" si="73"/>
        <v/>
      </c>
      <c r="CZ56" s="49" t="str">
        <f t="shared" si="73"/>
        <v/>
      </c>
      <c r="DA56" s="49" t="str">
        <f t="shared" si="73"/>
        <v/>
      </c>
      <c r="DB56" s="49" t="str">
        <f t="shared" si="73"/>
        <v/>
      </c>
      <c r="DC56" s="49" t="str">
        <f t="shared" si="73"/>
        <v/>
      </c>
      <c r="DD56" s="49" t="str">
        <f t="shared" si="73"/>
        <v/>
      </c>
      <c r="DE56" s="49" t="str">
        <f t="shared" si="73"/>
        <v/>
      </c>
      <c r="DF56" s="49" t="str">
        <f t="shared" si="73"/>
        <v/>
      </c>
      <c r="DG56" s="49" t="str">
        <f t="shared" si="73"/>
        <v/>
      </c>
      <c r="DH56" s="49" t="str">
        <f t="shared" si="73"/>
        <v/>
      </c>
      <c r="DI56" s="49" t="str">
        <f t="shared" si="73"/>
        <v/>
      </c>
      <c r="DJ56" s="49" t="str">
        <f t="shared" si="73"/>
        <v/>
      </c>
    </row>
    <row r="57" spans="1:114" ht="15.75" customHeight="1" x14ac:dyDescent="0.55000000000000004">
      <c r="A57" s="41" t="e">
        <f>MASANIELLO!#REF!</f>
        <v>#REF!</v>
      </c>
      <c r="B57" s="41" t="e">
        <f t="shared" si="2"/>
        <v>#VALUE!</v>
      </c>
      <c r="C57" s="42" t="e">
        <f t="shared" si="3"/>
        <v>#VALUE!</v>
      </c>
      <c r="D57" s="42" t="e">
        <f t="shared" si="4"/>
        <v>#VALUE!</v>
      </c>
      <c r="E57" s="42" t="e">
        <f t="shared" si="5"/>
        <v>#VALUE!</v>
      </c>
      <c r="F57" s="42" t="e">
        <f t="shared" si="6"/>
        <v>#VALUE!</v>
      </c>
      <c r="G57" s="50" t="e">
        <f t="shared" si="7"/>
        <v>#VALUE!</v>
      </c>
      <c r="H57" s="41" t="e">
        <f t="shared" si="8"/>
        <v>#VALUE!</v>
      </c>
      <c r="I57" s="41" t="e">
        <f t="shared" si="9"/>
        <v>#VALUE!</v>
      </c>
      <c r="J57" s="45" t="e">
        <f t="shared" si="10"/>
        <v>#VALUE!</v>
      </c>
      <c r="M57" s="48" t="b">
        <f t="shared" si="11"/>
        <v>0</v>
      </c>
      <c r="N57" s="49" t="e">
        <f t="shared" ref="N57:DJ57" si="74">IF(N$1&gt;$L$2,   "",   IF(N$1=$L$2,  1,  IF($L$2-N$1=$L$1-$M57, $L$3^($L$1-$M57), ($L$3*N58*O58/(N58+($L$3-1)*O58) ))))</f>
        <v>#DIV/0!</v>
      </c>
      <c r="O57" s="49" t="e">
        <f t="shared" si="74"/>
        <v>#DIV/0!</v>
      </c>
      <c r="P57" s="49" t="e">
        <f t="shared" si="74"/>
        <v>#DIV/0!</v>
      </c>
      <c r="Q57" s="49" t="e">
        <f t="shared" si="74"/>
        <v>#DIV/0!</v>
      </c>
      <c r="R57" s="49">
        <f t="shared" si="74"/>
        <v>1</v>
      </c>
      <c r="S57" s="49" t="str">
        <f t="shared" si="74"/>
        <v/>
      </c>
      <c r="T57" s="49" t="str">
        <f t="shared" si="74"/>
        <v/>
      </c>
      <c r="U57" s="49" t="str">
        <f t="shared" si="74"/>
        <v/>
      </c>
      <c r="V57" s="49" t="str">
        <f t="shared" si="74"/>
        <v/>
      </c>
      <c r="W57" s="49" t="str">
        <f t="shared" si="74"/>
        <v/>
      </c>
      <c r="X57" s="49" t="str">
        <f t="shared" si="74"/>
        <v/>
      </c>
      <c r="Y57" s="49" t="str">
        <f t="shared" si="74"/>
        <v/>
      </c>
      <c r="Z57" s="49" t="str">
        <f t="shared" si="74"/>
        <v/>
      </c>
      <c r="AA57" s="49" t="str">
        <f t="shared" si="74"/>
        <v/>
      </c>
      <c r="AB57" s="49" t="str">
        <f t="shared" si="74"/>
        <v/>
      </c>
      <c r="AC57" s="49" t="str">
        <f t="shared" si="74"/>
        <v/>
      </c>
      <c r="AD57" s="49" t="str">
        <f t="shared" si="74"/>
        <v/>
      </c>
      <c r="AE57" s="49" t="str">
        <f t="shared" si="74"/>
        <v/>
      </c>
      <c r="AF57" s="49" t="str">
        <f t="shared" si="74"/>
        <v/>
      </c>
      <c r="AG57" s="49" t="str">
        <f t="shared" si="74"/>
        <v/>
      </c>
      <c r="AH57" s="49" t="str">
        <f t="shared" si="74"/>
        <v/>
      </c>
      <c r="AI57" s="49" t="str">
        <f t="shared" si="74"/>
        <v/>
      </c>
      <c r="AJ57" s="49" t="str">
        <f t="shared" si="74"/>
        <v/>
      </c>
      <c r="AK57" s="49" t="str">
        <f t="shared" si="74"/>
        <v/>
      </c>
      <c r="AL57" s="49" t="str">
        <f t="shared" si="74"/>
        <v/>
      </c>
      <c r="AM57" s="49" t="str">
        <f t="shared" si="74"/>
        <v/>
      </c>
      <c r="AN57" s="49" t="str">
        <f t="shared" si="74"/>
        <v/>
      </c>
      <c r="AO57" s="49" t="str">
        <f t="shared" si="74"/>
        <v/>
      </c>
      <c r="AP57" s="49" t="str">
        <f t="shared" si="74"/>
        <v/>
      </c>
      <c r="AQ57" s="49" t="str">
        <f t="shared" si="74"/>
        <v/>
      </c>
      <c r="AR57" s="49" t="str">
        <f t="shared" si="74"/>
        <v/>
      </c>
      <c r="AS57" s="49" t="str">
        <f t="shared" si="74"/>
        <v/>
      </c>
      <c r="AT57" s="49" t="str">
        <f t="shared" si="74"/>
        <v/>
      </c>
      <c r="AU57" s="49" t="str">
        <f t="shared" si="74"/>
        <v/>
      </c>
      <c r="AV57" s="49" t="str">
        <f t="shared" si="74"/>
        <v/>
      </c>
      <c r="AW57" s="49" t="str">
        <f t="shared" si="74"/>
        <v/>
      </c>
      <c r="AX57" s="49" t="str">
        <f t="shared" si="74"/>
        <v/>
      </c>
      <c r="AY57" s="49" t="str">
        <f t="shared" si="74"/>
        <v/>
      </c>
      <c r="AZ57" s="49" t="str">
        <f t="shared" si="74"/>
        <v/>
      </c>
      <c r="BA57" s="49" t="str">
        <f t="shared" si="74"/>
        <v/>
      </c>
      <c r="BB57" s="49" t="str">
        <f t="shared" si="74"/>
        <v/>
      </c>
      <c r="BC57" s="49" t="str">
        <f t="shared" si="74"/>
        <v/>
      </c>
      <c r="BD57" s="49" t="str">
        <f t="shared" si="74"/>
        <v/>
      </c>
      <c r="BE57" s="49" t="str">
        <f t="shared" si="74"/>
        <v/>
      </c>
      <c r="BF57" s="49" t="str">
        <f t="shared" si="74"/>
        <v/>
      </c>
      <c r="BG57" s="49" t="str">
        <f t="shared" si="74"/>
        <v/>
      </c>
      <c r="BH57" s="49" t="str">
        <f t="shared" si="74"/>
        <v/>
      </c>
      <c r="BI57" s="49" t="str">
        <f t="shared" si="74"/>
        <v/>
      </c>
      <c r="BJ57" s="49" t="str">
        <f t="shared" si="74"/>
        <v/>
      </c>
      <c r="BK57" s="49" t="str">
        <f t="shared" si="74"/>
        <v/>
      </c>
      <c r="BL57" s="49" t="str">
        <f t="shared" si="74"/>
        <v/>
      </c>
      <c r="BM57" s="49" t="str">
        <f t="shared" si="74"/>
        <v/>
      </c>
      <c r="BN57" s="49" t="str">
        <f t="shared" si="74"/>
        <v/>
      </c>
      <c r="BO57" s="49" t="str">
        <f t="shared" si="74"/>
        <v/>
      </c>
      <c r="BP57" s="49" t="str">
        <f t="shared" si="74"/>
        <v/>
      </c>
      <c r="BQ57" s="49" t="str">
        <f t="shared" si="74"/>
        <v/>
      </c>
      <c r="BR57" s="49" t="str">
        <f t="shared" si="74"/>
        <v/>
      </c>
      <c r="BS57" s="49" t="str">
        <f t="shared" si="74"/>
        <v/>
      </c>
      <c r="BT57" s="49" t="str">
        <f t="shared" si="74"/>
        <v/>
      </c>
      <c r="BU57" s="49" t="str">
        <f t="shared" si="74"/>
        <v/>
      </c>
      <c r="BV57" s="49" t="str">
        <f t="shared" si="74"/>
        <v/>
      </c>
      <c r="BW57" s="49" t="str">
        <f t="shared" si="74"/>
        <v/>
      </c>
      <c r="BX57" s="49" t="str">
        <f t="shared" si="74"/>
        <v/>
      </c>
      <c r="BY57" s="49" t="str">
        <f t="shared" si="74"/>
        <v/>
      </c>
      <c r="BZ57" s="49" t="str">
        <f t="shared" si="74"/>
        <v/>
      </c>
      <c r="CA57" s="49" t="str">
        <f t="shared" si="74"/>
        <v/>
      </c>
      <c r="CB57" s="49" t="str">
        <f t="shared" si="74"/>
        <v/>
      </c>
      <c r="CC57" s="49" t="str">
        <f t="shared" si="74"/>
        <v/>
      </c>
      <c r="CD57" s="49" t="str">
        <f t="shared" si="74"/>
        <v/>
      </c>
      <c r="CE57" s="49" t="str">
        <f t="shared" si="74"/>
        <v/>
      </c>
      <c r="CF57" s="49" t="str">
        <f t="shared" si="74"/>
        <v/>
      </c>
      <c r="CG57" s="49" t="str">
        <f t="shared" si="74"/>
        <v/>
      </c>
      <c r="CH57" s="49" t="str">
        <f t="shared" si="74"/>
        <v/>
      </c>
      <c r="CI57" s="49" t="str">
        <f t="shared" si="74"/>
        <v/>
      </c>
      <c r="CJ57" s="49" t="str">
        <f t="shared" si="74"/>
        <v/>
      </c>
      <c r="CK57" s="49" t="str">
        <f t="shared" si="74"/>
        <v/>
      </c>
      <c r="CL57" s="49" t="str">
        <f t="shared" si="74"/>
        <v/>
      </c>
      <c r="CM57" s="49" t="str">
        <f t="shared" si="74"/>
        <v/>
      </c>
      <c r="CN57" s="49" t="str">
        <f t="shared" si="74"/>
        <v/>
      </c>
      <c r="CO57" s="49" t="str">
        <f t="shared" si="74"/>
        <v/>
      </c>
      <c r="CP57" s="49" t="str">
        <f t="shared" si="74"/>
        <v/>
      </c>
      <c r="CQ57" s="49" t="str">
        <f t="shared" si="74"/>
        <v/>
      </c>
      <c r="CR57" s="49" t="str">
        <f t="shared" si="74"/>
        <v/>
      </c>
      <c r="CS57" s="49" t="str">
        <f t="shared" si="74"/>
        <v/>
      </c>
      <c r="CT57" s="49" t="str">
        <f t="shared" si="74"/>
        <v/>
      </c>
      <c r="CU57" s="49" t="str">
        <f t="shared" si="74"/>
        <v/>
      </c>
      <c r="CV57" s="49" t="str">
        <f t="shared" si="74"/>
        <v/>
      </c>
      <c r="CW57" s="49" t="str">
        <f t="shared" si="74"/>
        <v/>
      </c>
      <c r="CX57" s="49" t="str">
        <f t="shared" si="74"/>
        <v/>
      </c>
      <c r="CY57" s="49" t="str">
        <f t="shared" si="74"/>
        <v/>
      </c>
      <c r="CZ57" s="49" t="str">
        <f t="shared" si="74"/>
        <v/>
      </c>
      <c r="DA57" s="49" t="str">
        <f t="shared" si="74"/>
        <v/>
      </c>
      <c r="DB57" s="49" t="str">
        <f t="shared" si="74"/>
        <v/>
      </c>
      <c r="DC57" s="49" t="str">
        <f t="shared" si="74"/>
        <v/>
      </c>
      <c r="DD57" s="49" t="str">
        <f t="shared" si="74"/>
        <v/>
      </c>
      <c r="DE57" s="49" t="str">
        <f t="shared" si="74"/>
        <v/>
      </c>
      <c r="DF57" s="49" t="str">
        <f t="shared" si="74"/>
        <v/>
      </c>
      <c r="DG57" s="49" t="str">
        <f t="shared" si="74"/>
        <v/>
      </c>
      <c r="DH57" s="49" t="str">
        <f t="shared" si="74"/>
        <v/>
      </c>
      <c r="DI57" s="49" t="str">
        <f t="shared" si="74"/>
        <v/>
      </c>
      <c r="DJ57" s="49" t="str">
        <f t="shared" si="74"/>
        <v/>
      </c>
    </row>
    <row r="58" spans="1:114" ht="15.75" customHeight="1" x14ac:dyDescent="0.55000000000000004">
      <c r="A58" s="41" t="e">
        <f>MASANIELLO!#REF!</f>
        <v>#REF!</v>
      </c>
      <c r="B58" s="41" t="e">
        <f t="shared" si="2"/>
        <v>#VALUE!</v>
      </c>
      <c r="C58" s="42" t="e">
        <f t="shared" si="3"/>
        <v>#VALUE!</v>
      </c>
      <c r="D58" s="42" t="e">
        <f t="shared" si="4"/>
        <v>#VALUE!</v>
      </c>
      <c r="E58" s="42" t="e">
        <f t="shared" si="5"/>
        <v>#VALUE!</v>
      </c>
      <c r="F58" s="42" t="e">
        <f t="shared" si="6"/>
        <v>#VALUE!</v>
      </c>
      <c r="G58" s="50" t="e">
        <f t="shared" si="7"/>
        <v>#VALUE!</v>
      </c>
      <c r="H58" s="41" t="e">
        <f t="shared" si="8"/>
        <v>#VALUE!</v>
      </c>
      <c r="I58" s="41" t="e">
        <f t="shared" si="9"/>
        <v>#VALUE!</v>
      </c>
      <c r="J58" s="45" t="e">
        <f t="shared" si="10"/>
        <v>#VALUE!</v>
      </c>
      <c r="M58" s="48" t="b">
        <f t="shared" si="11"/>
        <v>0</v>
      </c>
      <c r="N58" s="49" t="e">
        <f t="shared" ref="N58:DJ58" si="75">IF(N$1&gt;$L$2,   "",   IF(N$1=$L$2,  1,  IF($L$2-N$1=$L$1-$M58, $L$3^($L$1-$M58), ($L$3*N59*O59/(N59+($L$3-1)*O59) ))))</f>
        <v>#DIV/0!</v>
      </c>
      <c r="O58" s="49" t="e">
        <f t="shared" si="75"/>
        <v>#DIV/0!</v>
      </c>
      <c r="P58" s="49" t="e">
        <f t="shared" si="75"/>
        <v>#DIV/0!</v>
      </c>
      <c r="Q58" s="49" t="e">
        <f t="shared" si="75"/>
        <v>#DIV/0!</v>
      </c>
      <c r="R58" s="49">
        <f t="shared" si="75"/>
        <v>1</v>
      </c>
      <c r="S58" s="49" t="str">
        <f t="shared" si="75"/>
        <v/>
      </c>
      <c r="T58" s="49" t="str">
        <f t="shared" si="75"/>
        <v/>
      </c>
      <c r="U58" s="49" t="str">
        <f t="shared" si="75"/>
        <v/>
      </c>
      <c r="V58" s="49" t="str">
        <f t="shared" si="75"/>
        <v/>
      </c>
      <c r="W58" s="49" t="str">
        <f t="shared" si="75"/>
        <v/>
      </c>
      <c r="X58" s="49" t="str">
        <f t="shared" si="75"/>
        <v/>
      </c>
      <c r="Y58" s="49" t="str">
        <f t="shared" si="75"/>
        <v/>
      </c>
      <c r="Z58" s="49" t="str">
        <f t="shared" si="75"/>
        <v/>
      </c>
      <c r="AA58" s="49" t="str">
        <f t="shared" si="75"/>
        <v/>
      </c>
      <c r="AB58" s="49" t="str">
        <f t="shared" si="75"/>
        <v/>
      </c>
      <c r="AC58" s="49" t="str">
        <f t="shared" si="75"/>
        <v/>
      </c>
      <c r="AD58" s="49" t="str">
        <f t="shared" si="75"/>
        <v/>
      </c>
      <c r="AE58" s="49" t="str">
        <f t="shared" si="75"/>
        <v/>
      </c>
      <c r="AF58" s="49" t="str">
        <f t="shared" si="75"/>
        <v/>
      </c>
      <c r="AG58" s="49" t="str">
        <f t="shared" si="75"/>
        <v/>
      </c>
      <c r="AH58" s="49" t="str">
        <f t="shared" si="75"/>
        <v/>
      </c>
      <c r="AI58" s="49" t="str">
        <f t="shared" si="75"/>
        <v/>
      </c>
      <c r="AJ58" s="49" t="str">
        <f t="shared" si="75"/>
        <v/>
      </c>
      <c r="AK58" s="49" t="str">
        <f t="shared" si="75"/>
        <v/>
      </c>
      <c r="AL58" s="49" t="str">
        <f t="shared" si="75"/>
        <v/>
      </c>
      <c r="AM58" s="49" t="str">
        <f t="shared" si="75"/>
        <v/>
      </c>
      <c r="AN58" s="49" t="str">
        <f t="shared" si="75"/>
        <v/>
      </c>
      <c r="AO58" s="49" t="str">
        <f t="shared" si="75"/>
        <v/>
      </c>
      <c r="AP58" s="49" t="str">
        <f t="shared" si="75"/>
        <v/>
      </c>
      <c r="AQ58" s="49" t="str">
        <f t="shared" si="75"/>
        <v/>
      </c>
      <c r="AR58" s="49" t="str">
        <f t="shared" si="75"/>
        <v/>
      </c>
      <c r="AS58" s="49" t="str">
        <f t="shared" si="75"/>
        <v/>
      </c>
      <c r="AT58" s="49" t="str">
        <f t="shared" si="75"/>
        <v/>
      </c>
      <c r="AU58" s="49" t="str">
        <f t="shared" si="75"/>
        <v/>
      </c>
      <c r="AV58" s="49" t="str">
        <f t="shared" si="75"/>
        <v/>
      </c>
      <c r="AW58" s="49" t="str">
        <f t="shared" si="75"/>
        <v/>
      </c>
      <c r="AX58" s="49" t="str">
        <f t="shared" si="75"/>
        <v/>
      </c>
      <c r="AY58" s="49" t="str">
        <f t="shared" si="75"/>
        <v/>
      </c>
      <c r="AZ58" s="49" t="str">
        <f t="shared" si="75"/>
        <v/>
      </c>
      <c r="BA58" s="49" t="str">
        <f t="shared" si="75"/>
        <v/>
      </c>
      <c r="BB58" s="49" t="str">
        <f t="shared" si="75"/>
        <v/>
      </c>
      <c r="BC58" s="49" t="str">
        <f t="shared" si="75"/>
        <v/>
      </c>
      <c r="BD58" s="49" t="str">
        <f t="shared" si="75"/>
        <v/>
      </c>
      <c r="BE58" s="49" t="str">
        <f t="shared" si="75"/>
        <v/>
      </c>
      <c r="BF58" s="49" t="str">
        <f t="shared" si="75"/>
        <v/>
      </c>
      <c r="BG58" s="49" t="str">
        <f t="shared" si="75"/>
        <v/>
      </c>
      <c r="BH58" s="49" t="str">
        <f t="shared" si="75"/>
        <v/>
      </c>
      <c r="BI58" s="49" t="str">
        <f t="shared" si="75"/>
        <v/>
      </c>
      <c r="BJ58" s="49" t="str">
        <f t="shared" si="75"/>
        <v/>
      </c>
      <c r="BK58" s="49" t="str">
        <f t="shared" si="75"/>
        <v/>
      </c>
      <c r="BL58" s="49" t="str">
        <f t="shared" si="75"/>
        <v/>
      </c>
      <c r="BM58" s="49" t="str">
        <f t="shared" si="75"/>
        <v/>
      </c>
      <c r="BN58" s="49" t="str">
        <f t="shared" si="75"/>
        <v/>
      </c>
      <c r="BO58" s="49" t="str">
        <f t="shared" si="75"/>
        <v/>
      </c>
      <c r="BP58" s="49" t="str">
        <f t="shared" si="75"/>
        <v/>
      </c>
      <c r="BQ58" s="49" t="str">
        <f t="shared" si="75"/>
        <v/>
      </c>
      <c r="BR58" s="49" t="str">
        <f t="shared" si="75"/>
        <v/>
      </c>
      <c r="BS58" s="49" t="str">
        <f t="shared" si="75"/>
        <v/>
      </c>
      <c r="BT58" s="49" t="str">
        <f t="shared" si="75"/>
        <v/>
      </c>
      <c r="BU58" s="49" t="str">
        <f t="shared" si="75"/>
        <v/>
      </c>
      <c r="BV58" s="49" t="str">
        <f t="shared" si="75"/>
        <v/>
      </c>
      <c r="BW58" s="49" t="str">
        <f t="shared" si="75"/>
        <v/>
      </c>
      <c r="BX58" s="49" t="str">
        <f t="shared" si="75"/>
        <v/>
      </c>
      <c r="BY58" s="49" t="str">
        <f t="shared" si="75"/>
        <v/>
      </c>
      <c r="BZ58" s="49" t="str">
        <f t="shared" si="75"/>
        <v/>
      </c>
      <c r="CA58" s="49" t="str">
        <f t="shared" si="75"/>
        <v/>
      </c>
      <c r="CB58" s="49" t="str">
        <f t="shared" si="75"/>
        <v/>
      </c>
      <c r="CC58" s="49" t="str">
        <f t="shared" si="75"/>
        <v/>
      </c>
      <c r="CD58" s="49" t="str">
        <f t="shared" si="75"/>
        <v/>
      </c>
      <c r="CE58" s="49" t="str">
        <f t="shared" si="75"/>
        <v/>
      </c>
      <c r="CF58" s="49" t="str">
        <f t="shared" si="75"/>
        <v/>
      </c>
      <c r="CG58" s="49" t="str">
        <f t="shared" si="75"/>
        <v/>
      </c>
      <c r="CH58" s="49" t="str">
        <f t="shared" si="75"/>
        <v/>
      </c>
      <c r="CI58" s="49" t="str">
        <f t="shared" si="75"/>
        <v/>
      </c>
      <c r="CJ58" s="49" t="str">
        <f t="shared" si="75"/>
        <v/>
      </c>
      <c r="CK58" s="49" t="str">
        <f t="shared" si="75"/>
        <v/>
      </c>
      <c r="CL58" s="49" t="str">
        <f t="shared" si="75"/>
        <v/>
      </c>
      <c r="CM58" s="49" t="str">
        <f t="shared" si="75"/>
        <v/>
      </c>
      <c r="CN58" s="49" t="str">
        <f t="shared" si="75"/>
        <v/>
      </c>
      <c r="CO58" s="49" t="str">
        <f t="shared" si="75"/>
        <v/>
      </c>
      <c r="CP58" s="49" t="str">
        <f t="shared" si="75"/>
        <v/>
      </c>
      <c r="CQ58" s="49" t="str">
        <f t="shared" si="75"/>
        <v/>
      </c>
      <c r="CR58" s="49" t="str">
        <f t="shared" si="75"/>
        <v/>
      </c>
      <c r="CS58" s="49" t="str">
        <f t="shared" si="75"/>
        <v/>
      </c>
      <c r="CT58" s="49" t="str">
        <f t="shared" si="75"/>
        <v/>
      </c>
      <c r="CU58" s="49" t="str">
        <f t="shared" si="75"/>
        <v/>
      </c>
      <c r="CV58" s="49" t="str">
        <f t="shared" si="75"/>
        <v/>
      </c>
      <c r="CW58" s="49" t="str">
        <f t="shared" si="75"/>
        <v/>
      </c>
      <c r="CX58" s="49" t="str">
        <f t="shared" si="75"/>
        <v/>
      </c>
      <c r="CY58" s="49" t="str">
        <f t="shared" si="75"/>
        <v/>
      </c>
      <c r="CZ58" s="49" t="str">
        <f t="shared" si="75"/>
        <v/>
      </c>
      <c r="DA58" s="49" t="str">
        <f t="shared" si="75"/>
        <v/>
      </c>
      <c r="DB58" s="49" t="str">
        <f t="shared" si="75"/>
        <v/>
      </c>
      <c r="DC58" s="49" t="str">
        <f t="shared" si="75"/>
        <v/>
      </c>
      <c r="DD58" s="49" t="str">
        <f t="shared" si="75"/>
        <v/>
      </c>
      <c r="DE58" s="49" t="str">
        <f t="shared" si="75"/>
        <v/>
      </c>
      <c r="DF58" s="49" t="str">
        <f t="shared" si="75"/>
        <v/>
      </c>
      <c r="DG58" s="49" t="str">
        <f t="shared" si="75"/>
        <v/>
      </c>
      <c r="DH58" s="49" t="str">
        <f t="shared" si="75"/>
        <v/>
      </c>
      <c r="DI58" s="49" t="str">
        <f t="shared" si="75"/>
        <v/>
      </c>
      <c r="DJ58" s="49" t="str">
        <f t="shared" si="75"/>
        <v/>
      </c>
    </row>
    <row r="59" spans="1:114" ht="15.75" customHeight="1" x14ac:dyDescent="0.55000000000000004">
      <c r="A59" s="41" t="e">
        <f>MASANIELLO!#REF!</f>
        <v>#REF!</v>
      </c>
      <c r="B59" s="41" t="e">
        <f t="shared" si="2"/>
        <v>#VALUE!</v>
      </c>
      <c r="C59" s="42" t="e">
        <f t="shared" si="3"/>
        <v>#VALUE!</v>
      </c>
      <c r="D59" s="42" t="e">
        <f t="shared" si="4"/>
        <v>#VALUE!</v>
      </c>
      <c r="E59" s="42" t="e">
        <f t="shared" si="5"/>
        <v>#VALUE!</v>
      </c>
      <c r="F59" s="42" t="e">
        <f t="shared" si="6"/>
        <v>#VALUE!</v>
      </c>
      <c r="G59" s="50" t="e">
        <f t="shared" si="7"/>
        <v>#VALUE!</v>
      </c>
      <c r="H59" s="41" t="e">
        <f t="shared" si="8"/>
        <v>#VALUE!</v>
      </c>
      <c r="I59" s="41" t="e">
        <f t="shared" si="9"/>
        <v>#VALUE!</v>
      </c>
      <c r="J59" s="45" t="e">
        <f t="shared" si="10"/>
        <v>#VALUE!</v>
      </c>
      <c r="M59" s="48" t="b">
        <f t="shared" si="11"/>
        <v>0</v>
      </c>
      <c r="N59" s="49" t="e">
        <f t="shared" ref="N59:DJ59" si="76">IF(N$1&gt;$L$2,   "",   IF(N$1=$L$2,  1,  IF($L$2-N$1=$L$1-$M59, $L$3^($L$1-$M59), ($L$3*N60*O60/(N60+($L$3-1)*O60) ))))</f>
        <v>#DIV/0!</v>
      </c>
      <c r="O59" s="49" t="e">
        <f t="shared" si="76"/>
        <v>#DIV/0!</v>
      </c>
      <c r="P59" s="49" t="e">
        <f t="shared" si="76"/>
        <v>#DIV/0!</v>
      </c>
      <c r="Q59" s="49" t="e">
        <f t="shared" si="76"/>
        <v>#DIV/0!</v>
      </c>
      <c r="R59" s="49">
        <f t="shared" si="76"/>
        <v>1</v>
      </c>
      <c r="S59" s="49" t="str">
        <f t="shared" si="76"/>
        <v/>
      </c>
      <c r="T59" s="49" t="str">
        <f t="shared" si="76"/>
        <v/>
      </c>
      <c r="U59" s="49" t="str">
        <f t="shared" si="76"/>
        <v/>
      </c>
      <c r="V59" s="49" t="str">
        <f t="shared" si="76"/>
        <v/>
      </c>
      <c r="W59" s="49" t="str">
        <f t="shared" si="76"/>
        <v/>
      </c>
      <c r="X59" s="49" t="str">
        <f t="shared" si="76"/>
        <v/>
      </c>
      <c r="Y59" s="49" t="str">
        <f t="shared" si="76"/>
        <v/>
      </c>
      <c r="Z59" s="49" t="str">
        <f t="shared" si="76"/>
        <v/>
      </c>
      <c r="AA59" s="49" t="str">
        <f t="shared" si="76"/>
        <v/>
      </c>
      <c r="AB59" s="49" t="str">
        <f t="shared" si="76"/>
        <v/>
      </c>
      <c r="AC59" s="49" t="str">
        <f t="shared" si="76"/>
        <v/>
      </c>
      <c r="AD59" s="49" t="str">
        <f t="shared" si="76"/>
        <v/>
      </c>
      <c r="AE59" s="49" t="str">
        <f t="shared" si="76"/>
        <v/>
      </c>
      <c r="AF59" s="49" t="str">
        <f t="shared" si="76"/>
        <v/>
      </c>
      <c r="AG59" s="49" t="str">
        <f t="shared" si="76"/>
        <v/>
      </c>
      <c r="AH59" s="49" t="str">
        <f t="shared" si="76"/>
        <v/>
      </c>
      <c r="AI59" s="49" t="str">
        <f t="shared" si="76"/>
        <v/>
      </c>
      <c r="AJ59" s="49" t="str">
        <f t="shared" si="76"/>
        <v/>
      </c>
      <c r="AK59" s="49" t="str">
        <f t="shared" si="76"/>
        <v/>
      </c>
      <c r="AL59" s="49" t="str">
        <f t="shared" si="76"/>
        <v/>
      </c>
      <c r="AM59" s="49" t="str">
        <f t="shared" si="76"/>
        <v/>
      </c>
      <c r="AN59" s="49" t="str">
        <f t="shared" si="76"/>
        <v/>
      </c>
      <c r="AO59" s="49" t="str">
        <f t="shared" si="76"/>
        <v/>
      </c>
      <c r="AP59" s="49" t="str">
        <f t="shared" si="76"/>
        <v/>
      </c>
      <c r="AQ59" s="49" t="str">
        <f t="shared" si="76"/>
        <v/>
      </c>
      <c r="AR59" s="49" t="str">
        <f t="shared" si="76"/>
        <v/>
      </c>
      <c r="AS59" s="49" t="str">
        <f t="shared" si="76"/>
        <v/>
      </c>
      <c r="AT59" s="49" t="str">
        <f t="shared" si="76"/>
        <v/>
      </c>
      <c r="AU59" s="49" t="str">
        <f t="shared" si="76"/>
        <v/>
      </c>
      <c r="AV59" s="49" t="str">
        <f t="shared" si="76"/>
        <v/>
      </c>
      <c r="AW59" s="49" t="str">
        <f t="shared" si="76"/>
        <v/>
      </c>
      <c r="AX59" s="49" t="str">
        <f t="shared" si="76"/>
        <v/>
      </c>
      <c r="AY59" s="49" t="str">
        <f t="shared" si="76"/>
        <v/>
      </c>
      <c r="AZ59" s="49" t="str">
        <f t="shared" si="76"/>
        <v/>
      </c>
      <c r="BA59" s="49" t="str">
        <f t="shared" si="76"/>
        <v/>
      </c>
      <c r="BB59" s="49" t="str">
        <f t="shared" si="76"/>
        <v/>
      </c>
      <c r="BC59" s="49" t="str">
        <f t="shared" si="76"/>
        <v/>
      </c>
      <c r="BD59" s="49" t="str">
        <f t="shared" si="76"/>
        <v/>
      </c>
      <c r="BE59" s="49" t="str">
        <f t="shared" si="76"/>
        <v/>
      </c>
      <c r="BF59" s="49" t="str">
        <f t="shared" si="76"/>
        <v/>
      </c>
      <c r="BG59" s="49" t="str">
        <f t="shared" si="76"/>
        <v/>
      </c>
      <c r="BH59" s="49" t="str">
        <f t="shared" si="76"/>
        <v/>
      </c>
      <c r="BI59" s="49" t="str">
        <f t="shared" si="76"/>
        <v/>
      </c>
      <c r="BJ59" s="49" t="str">
        <f t="shared" si="76"/>
        <v/>
      </c>
      <c r="BK59" s="49" t="str">
        <f t="shared" si="76"/>
        <v/>
      </c>
      <c r="BL59" s="49" t="str">
        <f t="shared" si="76"/>
        <v/>
      </c>
      <c r="BM59" s="49" t="str">
        <f t="shared" si="76"/>
        <v/>
      </c>
      <c r="BN59" s="49" t="str">
        <f t="shared" si="76"/>
        <v/>
      </c>
      <c r="BO59" s="49" t="str">
        <f t="shared" si="76"/>
        <v/>
      </c>
      <c r="BP59" s="49" t="str">
        <f t="shared" si="76"/>
        <v/>
      </c>
      <c r="BQ59" s="49" t="str">
        <f t="shared" si="76"/>
        <v/>
      </c>
      <c r="BR59" s="49" t="str">
        <f t="shared" si="76"/>
        <v/>
      </c>
      <c r="BS59" s="49" t="str">
        <f t="shared" si="76"/>
        <v/>
      </c>
      <c r="BT59" s="49" t="str">
        <f t="shared" si="76"/>
        <v/>
      </c>
      <c r="BU59" s="49" t="str">
        <f t="shared" si="76"/>
        <v/>
      </c>
      <c r="BV59" s="49" t="str">
        <f t="shared" si="76"/>
        <v/>
      </c>
      <c r="BW59" s="49" t="str">
        <f t="shared" si="76"/>
        <v/>
      </c>
      <c r="BX59" s="49" t="str">
        <f t="shared" si="76"/>
        <v/>
      </c>
      <c r="BY59" s="49" t="str">
        <f t="shared" si="76"/>
        <v/>
      </c>
      <c r="BZ59" s="49" t="str">
        <f t="shared" si="76"/>
        <v/>
      </c>
      <c r="CA59" s="49" t="str">
        <f t="shared" si="76"/>
        <v/>
      </c>
      <c r="CB59" s="49" t="str">
        <f t="shared" si="76"/>
        <v/>
      </c>
      <c r="CC59" s="49" t="str">
        <f t="shared" si="76"/>
        <v/>
      </c>
      <c r="CD59" s="49" t="str">
        <f t="shared" si="76"/>
        <v/>
      </c>
      <c r="CE59" s="49" t="str">
        <f t="shared" si="76"/>
        <v/>
      </c>
      <c r="CF59" s="49" t="str">
        <f t="shared" si="76"/>
        <v/>
      </c>
      <c r="CG59" s="49" t="str">
        <f t="shared" si="76"/>
        <v/>
      </c>
      <c r="CH59" s="49" t="str">
        <f t="shared" si="76"/>
        <v/>
      </c>
      <c r="CI59" s="49" t="str">
        <f t="shared" si="76"/>
        <v/>
      </c>
      <c r="CJ59" s="49" t="str">
        <f t="shared" si="76"/>
        <v/>
      </c>
      <c r="CK59" s="49" t="str">
        <f t="shared" si="76"/>
        <v/>
      </c>
      <c r="CL59" s="49" t="str">
        <f t="shared" si="76"/>
        <v/>
      </c>
      <c r="CM59" s="49" t="str">
        <f t="shared" si="76"/>
        <v/>
      </c>
      <c r="CN59" s="49" t="str">
        <f t="shared" si="76"/>
        <v/>
      </c>
      <c r="CO59" s="49" t="str">
        <f t="shared" si="76"/>
        <v/>
      </c>
      <c r="CP59" s="49" t="str">
        <f t="shared" si="76"/>
        <v/>
      </c>
      <c r="CQ59" s="49" t="str">
        <f t="shared" si="76"/>
        <v/>
      </c>
      <c r="CR59" s="49" t="str">
        <f t="shared" si="76"/>
        <v/>
      </c>
      <c r="CS59" s="49" t="str">
        <f t="shared" si="76"/>
        <v/>
      </c>
      <c r="CT59" s="49" t="str">
        <f t="shared" si="76"/>
        <v/>
      </c>
      <c r="CU59" s="49" t="str">
        <f t="shared" si="76"/>
        <v/>
      </c>
      <c r="CV59" s="49" t="str">
        <f t="shared" si="76"/>
        <v/>
      </c>
      <c r="CW59" s="49" t="str">
        <f t="shared" si="76"/>
        <v/>
      </c>
      <c r="CX59" s="49" t="str">
        <f t="shared" si="76"/>
        <v/>
      </c>
      <c r="CY59" s="49" t="str">
        <f t="shared" si="76"/>
        <v/>
      </c>
      <c r="CZ59" s="49" t="str">
        <f t="shared" si="76"/>
        <v/>
      </c>
      <c r="DA59" s="49" t="str">
        <f t="shared" si="76"/>
        <v/>
      </c>
      <c r="DB59" s="49" t="str">
        <f t="shared" si="76"/>
        <v/>
      </c>
      <c r="DC59" s="49" t="str">
        <f t="shared" si="76"/>
        <v/>
      </c>
      <c r="DD59" s="49" t="str">
        <f t="shared" si="76"/>
        <v/>
      </c>
      <c r="DE59" s="49" t="str">
        <f t="shared" si="76"/>
        <v/>
      </c>
      <c r="DF59" s="49" t="str">
        <f t="shared" si="76"/>
        <v/>
      </c>
      <c r="DG59" s="49" t="str">
        <f t="shared" si="76"/>
        <v/>
      </c>
      <c r="DH59" s="49" t="str">
        <f t="shared" si="76"/>
        <v/>
      </c>
      <c r="DI59" s="49" t="str">
        <f t="shared" si="76"/>
        <v/>
      </c>
      <c r="DJ59" s="49" t="str">
        <f t="shared" si="76"/>
        <v/>
      </c>
    </row>
    <row r="60" spans="1:114" ht="15.75" customHeight="1" x14ac:dyDescent="0.55000000000000004">
      <c r="A60" s="41" t="e">
        <f>MASANIELLO!#REF!</f>
        <v>#REF!</v>
      </c>
      <c r="B60" s="41" t="e">
        <f t="shared" si="2"/>
        <v>#VALUE!</v>
      </c>
      <c r="C60" s="42" t="e">
        <f t="shared" si="3"/>
        <v>#VALUE!</v>
      </c>
      <c r="D60" s="42" t="e">
        <f t="shared" si="4"/>
        <v>#VALUE!</v>
      </c>
      <c r="E60" s="42" t="e">
        <f t="shared" si="5"/>
        <v>#VALUE!</v>
      </c>
      <c r="F60" s="42" t="e">
        <f t="shared" si="6"/>
        <v>#VALUE!</v>
      </c>
      <c r="G60" s="50" t="e">
        <f t="shared" si="7"/>
        <v>#VALUE!</v>
      </c>
      <c r="H60" s="41" t="e">
        <f t="shared" si="8"/>
        <v>#VALUE!</v>
      </c>
      <c r="I60" s="41" t="e">
        <f t="shared" si="9"/>
        <v>#VALUE!</v>
      </c>
      <c r="J60" s="45" t="e">
        <f t="shared" si="10"/>
        <v>#VALUE!</v>
      </c>
      <c r="M60" s="48" t="b">
        <f t="shared" si="11"/>
        <v>0</v>
      </c>
      <c r="N60" s="49" t="e">
        <f t="shared" ref="N60:DJ60" si="77">IF(N$1&gt;$L$2,   "",   IF(N$1=$L$2,  1,  IF($L$2-N$1=$L$1-$M60, $L$3^($L$1-$M60), ($L$3*N61*O61/(N61+($L$3-1)*O61) ))))</f>
        <v>#DIV/0!</v>
      </c>
      <c r="O60" s="49" t="e">
        <f t="shared" si="77"/>
        <v>#DIV/0!</v>
      </c>
      <c r="P60" s="49" t="e">
        <f t="shared" si="77"/>
        <v>#DIV/0!</v>
      </c>
      <c r="Q60" s="49" t="e">
        <f t="shared" si="77"/>
        <v>#DIV/0!</v>
      </c>
      <c r="R60" s="49">
        <f t="shared" si="77"/>
        <v>1</v>
      </c>
      <c r="S60" s="49" t="str">
        <f t="shared" si="77"/>
        <v/>
      </c>
      <c r="T60" s="49" t="str">
        <f t="shared" si="77"/>
        <v/>
      </c>
      <c r="U60" s="49" t="str">
        <f t="shared" si="77"/>
        <v/>
      </c>
      <c r="V60" s="49" t="str">
        <f t="shared" si="77"/>
        <v/>
      </c>
      <c r="W60" s="49" t="str">
        <f t="shared" si="77"/>
        <v/>
      </c>
      <c r="X60" s="49" t="str">
        <f t="shared" si="77"/>
        <v/>
      </c>
      <c r="Y60" s="49" t="str">
        <f t="shared" si="77"/>
        <v/>
      </c>
      <c r="Z60" s="49" t="str">
        <f t="shared" si="77"/>
        <v/>
      </c>
      <c r="AA60" s="49" t="str">
        <f t="shared" si="77"/>
        <v/>
      </c>
      <c r="AB60" s="49" t="str">
        <f t="shared" si="77"/>
        <v/>
      </c>
      <c r="AC60" s="49" t="str">
        <f t="shared" si="77"/>
        <v/>
      </c>
      <c r="AD60" s="49" t="str">
        <f t="shared" si="77"/>
        <v/>
      </c>
      <c r="AE60" s="49" t="str">
        <f t="shared" si="77"/>
        <v/>
      </c>
      <c r="AF60" s="49" t="str">
        <f t="shared" si="77"/>
        <v/>
      </c>
      <c r="AG60" s="49" t="str">
        <f t="shared" si="77"/>
        <v/>
      </c>
      <c r="AH60" s="49" t="str">
        <f t="shared" si="77"/>
        <v/>
      </c>
      <c r="AI60" s="49" t="str">
        <f t="shared" si="77"/>
        <v/>
      </c>
      <c r="AJ60" s="49" t="str">
        <f t="shared" si="77"/>
        <v/>
      </c>
      <c r="AK60" s="49" t="str">
        <f t="shared" si="77"/>
        <v/>
      </c>
      <c r="AL60" s="49" t="str">
        <f t="shared" si="77"/>
        <v/>
      </c>
      <c r="AM60" s="49" t="str">
        <f t="shared" si="77"/>
        <v/>
      </c>
      <c r="AN60" s="49" t="str">
        <f t="shared" si="77"/>
        <v/>
      </c>
      <c r="AO60" s="49" t="str">
        <f t="shared" si="77"/>
        <v/>
      </c>
      <c r="AP60" s="49" t="str">
        <f t="shared" si="77"/>
        <v/>
      </c>
      <c r="AQ60" s="49" t="str">
        <f t="shared" si="77"/>
        <v/>
      </c>
      <c r="AR60" s="49" t="str">
        <f t="shared" si="77"/>
        <v/>
      </c>
      <c r="AS60" s="49" t="str">
        <f t="shared" si="77"/>
        <v/>
      </c>
      <c r="AT60" s="49" t="str">
        <f t="shared" si="77"/>
        <v/>
      </c>
      <c r="AU60" s="49" t="str">
        <f t="shared" si="77"/>
        <v/>
      </c>
      <c r="AV60" s="49" t="str">
        <f t="shared" si="77"/>
        <v/>
      </c>
      <c r="AW60" s="49" t="str">
        <f t="shared" si="77"/>
        <v/>
      </c>
      <c r="AX60" s="49" t="str">
        <f t="shared" si="77"/>
        <v/>
      </c>
      <c r="AY60" s="49" t="str">
        <f t="shared" si="77"/>
        <v/>
      </c>
      <c r="AZ60" s="49" t="str">
        <f t="shared" si="77"/>
        <v/>
      </c>
      <c r="BA60" s="49" t="str">
        <f t="shared" si="77"/>
        <v/>
      </c>
      <c r="BB60" s="49" t="str">
        <f t="shared" si="77"/>
        <v/>
      </c>
      <c r="BC60" s="49" t="str">
        <f t="shared" si="77"/>
        <v/>
      </c>
      <c r="BD60" s="49" t="str">
        <f t="shared" si="77"/>
        <v/>
      </c>
      <c r="BE60" s="49" t="str">
        <f t="shared" si="77"/>
        <v/>
      </c>
      <c r="BF60" s="49" t="str">
        <f t="shared" si="77"/>
        <v/>
      </c>
      <c r="BG60" s="49" t="str">
        <f t="shared" si="77"/>
        <v/>
      </c>
      <c r="BH60" s="49" t="str">
        <f t="shared" si="77"/>
        <v/>
      </c>
      <c r="BI60" s="49" t="str">
        <f t="shared" si="77"/>
        <v/>
      </c>
      <c r="BJ60" s="49" t="str">
        <f t="shared" si="77"/>
        <v/>
      </c>
      <c r="BK60" s="49" t="str">
        <f t="shared" si="77"/>
        <v/>
      </c>
      <c r="BL60" s="49" t="str">
        <f t="shared" si="77"/>
        <v/>
      </c>
      <c r="BM60" s="49" t="str">
        <f t="shared" si="77"/>
        <v/>
      </c>
      <c r="BN60" s="49" t="str">
        <f t="shared" si="77"/>
        <v/>
      </c>
      <c r="BO60" s="49" t="str">
        <f t="shared" si="77"/>
        <v/>
      </c>
      <c r="BP60" s="49" t="str">
        <f t="shared" si="77"/>
        <v/>
      </c>
      <c r="BQ60" s="49" t="str">
        <f t="shared" si="77"/>
        <v/>
      </c>
      <c r="BR60" s="49" t="str">
        <f t="shared" si="77"/>
        <v/>
      </c>
      <c r="BS60" s="49" t="str">
        <f t="shared" si="77"/>
        <v/>
      </c>
      <c r="BT60" s="49" t="str">
        <f t="shared" si="77"/>
        <v/>
      </c>
      <c r="BU60" s="49" t="str">
        <f t="shared" si="77"/>
        <v/>
      </c>
      <c r="BV60" s="49" t="str">
        <f t="shared" si="77"/>
        <v/>
      </c>
      <c r="BW60" s="49" t="str">
        <f t="shared" si="77"/>
        <v/>
      </c>
      <c r="BX60" s="49" t="str">
        <f t="shared" si="77"/>
        <v/>
      </c>
      <c r="BY60" s="49" t="str">
        <f t="shared" si="77"/>
        <v/>
      </c>
      <c r="BZ60" s="49" t="str">
        <f t="shared" si="77"/>
        <v/>
      </c>
      <c r="CA60" s="49" t="str">
        <f t="shared" si="77"/>
        <v/>
      </c>
      <c r="CB60" s="49" t="str">
        <f t="shared" si="77"/>
        <v/>
      </c>
      <c r="CC60" s="49" t="str">
        <f t="shared" si="77"/>
        <v/>
      </c>
      <c r="CD60" s="49" t="str">
        <f t="shared" si="77"/>
        <v/>
      </c>
      <c r="CE60" s="49" t="str">
        <f t="shared" si="77"/>
        <v/>
      </c>
      <c r="CF60" s="49" t="str">
        <f t="shared" si="77"/>
        <v/>
      </c>
      <c r="CG60" s="49" t="str">
        <f t="shared" si="77"/>
        <v/>
      </c>
      <c r="CH60" s="49" t="str">
        <f t="shared" si="77"/>
        <v/>
      </c>
      <c r="CI60" s="49" t="str">
        <f t="shared" si="77"/>
        <v/>
      </c>
      <c r="CJ60" s="49" t="str">
        <f t="shared" si="77"/>
        <v/>
      </c>
      <c r="CK60" s="49" t="str">
        <f t="shared" si="77"/>
        <v/>
      </c>
      <c r="CL60" s="49" t="str">
        <f t="shared" si="77"/>
        <v/>
      </c>
      <c r="CM60" s="49" t="str">
        <f t="shared" si="77"/>
        <v/>
      </c>
      <c r="CN60" s="49" t="str">
        <f t="shared" si="77"/>
        <v/>
      </c>
      <c r="CO60" s="49" t="str">
        <f t="shared" si="77"/>
        <v/>
      </c>
      <c r="CP60" s="49" t="str">
        <f t="shared" si="77"/>
        <v/>
      </c>
      <c r="CQ60" s="49" t="str">
        <f t="shared" si="77"/>
        <v/>
      </c>
      <c r="CR60" s="49" t="str">
        <f t="shared" si="77"/>
        <v/>
      </c>
      <c r="CS60" s="49" t="str">
        <f t="shared" si="77"/>
        <v/>
      </c>
      <c r="CT60" s="49" t="str">
        <f t="shared" si="77"/>
        <v/>
      </c>
      <c r="CU60" s="49" t="str">
        <f t="shared" si="77"/>
        <v/>
      </c>
      <c r="CV60" s="49" t="str">
        <f t="shared" si="77"/>
        <v/>
      </c>
      <c r="CW60" s="49" t="str">
        <f t="shared" si="77"/>
        <v/>
      </c>
      <c r="CX60" s="49" t="str">
        <f t="shared" si="77"/>
        <v/>
      </c>
      <c r="CY60" s="49" t="str">
        <f t="shared" si="77"/>
        <v/>
      </c>
      <c r="CZ60" s="49" t="str">
        <f t="shared" si="77"/>
        <v/>
      </c>
      <c r="DA60" s="49" t="str">
        <f t="shared" si="77"/>
        <v/>
      </c>
      <c r="DB60" s="49" t="str">
        <f t="shared" si="77"/>
        <v/>
      </c>
      <c r="DC60" s="49" t="str">
        <f t="shared" si="77"/>
        <v/>
      </c>
      <c r="DD60" s="49" t="str">
        <f t="shared" si="77"/>
        <v/>
      </c>
      <c r="DE60" s="49" t="str">
        <f t="shared" si="77"/>
        <v/>
      </c>
      <c r="DF60" s="49" t="str">
        <f t="shared" si="77"/>
        <v/>
      </c>
      <c r="DG60" s="49" t="str">
        <f t="shared" si="77"/>
        <v/>
      </c>
      <c r="DH60" s="49" t="str">
        <f t="shared" si="77"/>
        <v/>
      </c>
      <c r="DI60" s="49" t="str">
        <f t="shared" si="77"/>
        <v/>
      </c>
      <c r="DJ60" s="49" t="str">
        <f t="shared" si="77"/>
        <v/>
      </c>
    </row>
    <row r="61" spans="1:114" ht="15.75" customHeight="1" x14ac:dyDescent="0.55000000000000004">
      <c r="A61" s="41" t="e">
        <f>MASANIELLO!#REF!</f>
        <v>#REF!</v>
      </c>
      <c r="B61" s="41" t="e">
        <f t="shared" si="2"/>
        <v>#VALUE!</v>
      </c>
      <c r="C61" s="42" t="e">
        <f t="shared" si="3"/>
        <v>#VALUE!</v>
      </c>
      <c r="D61" s="42" t="e">
        <f t="shared" si="4"/>
        <v>#VALUE!</v>
      </c>
      <c r="E61" s="42" t="e">
        <f t="shared" si="5"/>
        <v>#VALUE!</v>
      </c>
      <c r="F61" s="42" t="e">
        <f t="shared" si="6"/>
        <v>#VALUE!</v>
      </c>
      <c r="G61" s="50" t="e">
        <f t="shared" si="7"/>
        <v>#VALUE!</v>
      </c>
      <c r="H61" s="41" t="e">
        <f t="shared" si="8"/>
        <v>#VALUE!</v>
      </c>
      <c r="I61" s="41" t="e">
        <f t="shared" si="9"/>
        <v>#VALUE!</v>
      </c>
      <c r="J61" s="45" t="e">
        <f t="shared" si="10"/>
        <v>#VALUE!</v>
      </c>
      <c r="M61" s="48" t="b">
        <f t="shared" si="11"/>
        <v>0</v>
      </c>
      <c r="N61" s="49" t="e">
        <f t="shared" ref="N61:DJ61" si="78">IF(N$1&gt;$L$2,   "",   IF(N$1=$L$2,  1,  IF($L$2-N$1=$L$1-$M61, $L$3^($L$1-$M61), ($L$3*N62*O62/(N62+($L$3-1)*O62) ))))</f>
        <v>#DIV/0!</v>
      </c>
      <c r="O61" s="49" t="e">
        <f t="shared" si="78"/>
        <v>#DIV/0!</v>
      </c>
      <c r="P61" s="49" t="e">
        <f t="shared" si="78"/>
        <v>#DIV/0!</v>
      </c>
      <c r="Q61" s="49" t="e">
        <f t="shared" si="78"/>
        <v>#DIV/0!</v>
      </c>
      <c r="R61" s="49">
        <f t="shared" si="78"/>
        <v>1</v>
      </c>
      <c r="S61" s="49" t="str">
        <f t="shared" si="78"/>
        <v/>
      </c>
      <c r="T61" s="49" t="str">
        <f t="shared" si="78"/>
        <v/>
      </c>
      <c r="U61" s="49" t="str">
        <f t="shared" si="78"/>
        <v/>
      </c>
      <c r="V61" s="49" t="str">
        <f t="shared" si="78"/>
        <v/>
      </c>
      <c r="W61" s="49" t="str">
        <f t="shared" si="78"/>
        <v/>
      </c>
      <c r="X61" s="49" t="str">
        <f t="shared" si="78"/>
        <v/>
      </c>
      <c r="Y61" s="49" t="str">
        <f t="shared" si="78"/>
        <v/>
      </c>
      <c r="Z61" s="49" t="str">
        <f t="shared" si="78"/>
        <v/>
      </c>
      <c r="AA61" s="49" t="str">
        <f t="shared" si="78"/>
        <v/>
      </c>
      <c r="AB61" s="49" t="str">
        <f t="shared" si="78"/>
        <v/>
      </c>
      <c r="AC61" s="49" t="str">
        <f t="shared" si="78"/>
        <v/>
      </c>
      <c r="AD61" s="49" t="str">
        <f t="shared" si="78"/>
        <v/>
      </c>
      <c r="AE61" s="49" t="str">
        <f t="shared" si="78"/>
        <v/>
      </c>
      <c r="AF61" s="49" t="str">
        <f t="shared" si="78"/>
        <v/>
      </c>
      <c r="AG61" s="49" t="str">
        <f t="shared" si="78"/>
        <v/>
      </c>
      <c r="AH61" s="49" t="str">
        <f t="shared" si="78"/>
        <v/>
      </c>
      <c r="AI61" s="49" t="str">
        <f t="shared" si="78"/>
        <v/>
      </c>
      <c r="AJ61" s="49" t="str">
        <f t="shared" si="78"/>
        <v/>
      </c>
      <c r="AK61" s="49" t="str">
        <f t="shared" si="78"/>
        <v/>
      </c>
      <c r="AL61" s="49" t="str">
        <f t="shared" si="78"/>
        <v/>
      </c>
      <c r="AM61" s="49" t="str">
        <f t="shared" si="78"/>
        <v/>
      </c>
      <c r="AN61" s="49" t="str">
        <f t="shared" si="78"/>
        <v/>
      </c>
      <c r="AO61" s="49" t="str">
        <f t="shared" si="78"/>
        <v/>
      </c>
      <c r="AP61" s="49" t="str">
        <f t="shared" si="78"/>
        <v/>
      </c>
      <c r="AQ61" s="49" t="str">
        <f t="shared" si="78"/>
        <v/>
      </c>
      <c r="AR61" s="49" t="str">
        <f t="shared" si="78"/>
        <v/>
      </c>
      <c r="AS61" s="49" t="str">
        <f t="shared" si="78"/>
        <v/>
      </c>
      <c r="AT61" s="49" t="str">
        <f t="shared" si="78"/>
        <v/>
      </c>
      <c r="AU61" s="49" t="str">
        <f t="shared" si="78"/>
        <v/>
      </c>
      <c r="AV61" s="49" t="str">
        <f t="shared" si="78"/>
        <v/>
      </c>
      <c r="AW61" s="49" t="str">
        <f t="shared" si="78"/>
        <v/>
      </c>
      <c r="AX61" s="49" t="str">
        <f t="shared" si="78"/>
        <v/>
      </c>
      <c r="AY61" s="49" t="str">
        <f t="shared" si="78"/>
        <v/>
      </c>
      <c r="AZ61" s="49" t="str">
        <f t="shared" si="78"/>
        <v/>
      </c>
      <c r="BA61" s="49" t="str">
        <f t="shared" si="78"/>
        <v/>
      </c>
      <c r="BB61" s="49" t="str">
        <f t="shared" si="78"/>
        <v/>
      </c>
      <c r="BC61" s="49" t="str">
        <f t="shared" si="78"/>
        <v/>
      </c>
      <c r="BD61" s="49" t="str">
        <f t="shared" si="78"/>
        <v/>
      </c>
      <c r="BE61" s="49" t="str">
        <f t="shared" si="78"/>
        <v/>
      </c>
      <c r="BF61" s="49" t="str">
        <f t="shared" si="78"/>
        <v/>
      </c>
      <c r="BG61" s="49" t="str">
        <f t="shared" si="78"/>
        <v/>
      </c>
      <c r="BH61" s="49" t="str">
        <f t="shared" si="78"/>
        <v/>
      </c>
      <c r="BI61" s="49" t="str">
        <f t="shared" si="78"/>
        <v/>
      </c>
      <c r="BJ61" s="49" t="str">
        <f t="shared" si="78"/>
        <v/>
      </c>
      <c r="BK61" s="49" t="str">
        <f t="shared" si="78"/>
        <v/>
      </c>
      <c r="BL61" s="49" t="str">
        <f t="shared" si="78"/>
        <v/>
      </c>
      <c r="BM61" s="49" t="str">
        <f t="shared" si="78"/>
        <v/>
      </c>
      <c r="BN61" s="49" t="str">
        <f t="shared" si="78"/>
        <v/>
      </c>
      <c r="BO61" s="49" t="str">
        <f t="shared" si="78"/>
        <v/>
      </c>
      <c r="BP61" s="49" t="str">
        <f t="shared" si="78"/>
        <v/>
      </c>
      <c r="BQ61" s="49" t="str">
        <f t="shared" si="78"/>
        <v/>
      </c>
      <c r="BR61" s="49" t="str">
        <f t="shared" si="78"/>
        <v/>
      </c>
      <c r="BS61" s="49" t="str">
        <f t="shared" si="78"/>
        <v/>
      </c>
      <c r="BT61" s="49" t="str">
        <f t="shared" si="78"/>
        <v/>
      </c>
      <c r="BU61" s="49" t="str">
        <f t="shared" si="78"/>
        <v/>
      </c>
      <c r="BV61" s="49" t="str">
        <f t="shared" si="78"/>
        <v/>
      </c>
      <c r="BW61" s="49" t="str">
        <f t="shared" si="78"/>
        <v/>
      </c>
      <c r="BX61" s="49" t="str">
        <f t="shared" si="78"/>
        <v/>
      </c>
      <c r="BY61" s="49" t="str">
        <f t="shared" si="78"/>
        <v/>
      </c>
      <c r="BZ61" s="49" t="str">
        <f t="shared" si="78"/>
        <v/>
      </c>
      <c r="CA61" s="49" t="str">
        <f t="shared" si="78"/>
        <v/>
      </c>
      <c r="CB61" s="49" t="str">
        <f t="shared" si="78"/>
        <v/>
      </c>
      <c r="CC61" s="49" t="str">
        <f t="shared" si="78"/>
        <v/>
      </c>
      <c r="CD61" s="49" t="str">
        <f t="shared" si="78"/>
        <v/>
      </c>
      <c r="CE61" s="49" t="str">
        <f t="shared" si="78"/>
        <v/>
      </c>
      <c r="CF61" s="49" t="str">
        <f t="shared" si="78"/>
        <v/>
      </c>
      <c r="CG61" s="49" t="str">
        <f t="shared" si="78"/>
        <v/>
      </c>
      <c r="CH61" s="49" t="str">
        <f t="shared" si="78"/>
        <v/>
      </c>
      <c r="CI61" s="49" t="str">
        <f t="shared" si="78"/>
        <v/>
      </c>
      <c r="CJ61" s="49" t="str">
        <f t="shared" si="78"/>
        <v/>
      </c>
      <c r="CK61" s="49" t="str">
        <f t="shared" si="78"/>
        <v/>
      </c>
      <c r="CL61" s="49" t="str">
        <f t="shared" si="78"/>
        <v/>
      </c>
      <c r="CM61" s="49" t="str">
        <f t="shared" si="78"/>
        <v/>
      </c>
      <c r="CN61" s="49" t="str">
        <f t="shared" si="78"/>
        <v/>
      </c>
      <c r="CO61" s="49" t="str">
        <f t="shared" si="78"/>
        <v/>
      </c>
      <c r="CP61" s="49" t="str">
        <f t="shared" si="78"/>
        <v/>
      </c>
      <c r="CQ61" s="49" t="str">
        <f t="shared" si="78"/>
        <v/>
      </c>
      <c r="CR61" s="49" t="str">
        <f t="shared" si="78"/>
        <v/>
      </c>
      <c r="CS61" s="49" t="str">
        <f t="shared" si="78"/>
        <v/>
      </c>
      <c r="CT61" s="49" t="str">
        <f t="shared" si="78"/>
        <v/>
      </c>
      <c r="CU61" s="49" t="str">
        <f t="shared" si="78"/>
        <v/>
      </c>
      <c r="CV61" s="49" t="str">
        <f t="shared" si="78"/>
        <v/>
      </c>
      <c r="CW61" s="49" t="str">
        <f t="shared" si="78"/>
        <v/>
      </c>
      <c r="CX61" s="49" t="str">
        <f t="shared" si="78"/>
        <v/>
      </c>
      <c r="CY61" s="49" t="str">
        <f t="shared" si="78"/>
        <v/>
      </c>
      <c r="CZ61" s="49" t="str">
        <f t="shared" si="78"/>
        <v/>
      </c>
      <c r="DA61" s="49" t="str">
        <f t="shared" si="78"/>
        <v/>
      </c>
      <c r="DB61" s="49" t="str">
        <f t="shared" si="78"/>
        <v/>
      </c>
      <c r="DC61" s="49" t="str">
        <f t="shared" si="78"/>
        <v/>
      </c>
      <c r="DD61" s="49" t="str">
        <f t="shared" si="78"/>
        <v/>
      </c>
      <c r="DE61" s="49" t="str">
        <f t="shared" si="78"/>
        <v/>
      </c>
      <c r="DF61" s="49" t="str">
        <f t="shared" si="78"/>
        <v/>
      </c>
      <c r="DG61" s="49" t="str">
        <f t="shared" si="78"/>
        <v/>
      </c>
      <c r="DH61" s="49" t="str">
        <f t="shared" si="78"/>
        <v/>
      </c>
      <c r="DI61" s="49" t="str">
        <f t="shared" si="78"/>
        <v/>
      </c>
      <c r="DJ61" s="49" t="str">
        <f t="shared" si="78"/>
        <v/>
      </c>
    </row>
    <row r="62" spans="1:114" ht="15.75" customHeight="1" x14ac:dyDescent="0.55000000000000004">
      <c r="A62" s="41" t="e">
        <f>MASANIELLO!#REF!</f>
        <v>#REF!</v>
      </c>
      <c r="B62" s="41" t="e">
        <f t="shared" si="2"/>
        <v>#VALUE!</v>
      </c>
      <c r="C62" s="42" t="e">
        <f t="shared" si="3"/>
        <v>#VALUE!</v>
      </c>
      <c r="D62" s="42" t="e">
        <f t="shared" si="4"/>
        <v>#VALUE!</v>
      </c>
      <c r="E62" s="42" t="e">
        <f t="shared" si="5"/>
        <v>#VALUE!</v>
      </c>
      <c r="F62" s="42" t="e">
        <f t="shared" si="6"/>
        <v>#VALUE!</v>
      </c>
      <c r="G62" s="50" t="e">
        <f t="shared" si="7"/>
        <v>#VALUE!</v>
      </c>
      <c r="H62" s="41" t="e">
        <f t="shared" si="8"/>
        <v>#VALUE!</v>
      </c>
      <c r="I62" s="41" t="e">
        <f t="shared" si="9"/>
        <v>#VALUE!</v>
      </c>
      <c r="J62" s="45" t="e">
        <f t="shared" si="10"/>
        <v>#VALUE!</v>
      </c>
      <c r="M62" s="48" t="b">
        <f t="shared" si="11"/>
        <v>0</v>
      </c>
      <c r="N62" s="49" t="e">
        <f t="shared" ref="N62:DJ62" si="79">IF(N$1&gt;$L$2,   "",   IF(N$1=$L$2,  1,  IF($L$2-N$1=$L$1-$M62, $L$3^($L$1-$M62), ($L$3*N63*O63/(N63+($L$3-1)*O63) ))))</f>
        <v>#DIV/0!</v>
      </c>
      <c r="O62" s="49" t="e">
        <f t="shared" si="79"/>
        <v>#DIV/0!</v>
      </c>
      <c r="P62" s="49" t="e">
        <f t="shared" si="79"/>
        <v>#DIV/0!</v>
      </c>
      <c r="Q62" s="49" t="e">
        <f t="shared" si="79"/>
        <v>#DIV/0!</v>
      </c>
      <c r="R62" s="49">
        <f t="shared" si="79"/>
        <v>1</v>
      </c>
      <c r="S62" s="49" t="str">
        <f t="shared" si="79"/>
        <v/>
      </c>
      <c r="T62" s="49" t="str">
        <f t="shared" si="79"/>
        <v/>
      </c>
      <c r="U62" s="49" t="str">
        <f t="shared" si="79"/>
        <v/>
      </c>
      <c r="V62" s="49" t="str">
        <f t="shared" si="79"/>
        <v/>
      </c>
      <c r="W62" s="49" t="str">
        <f t="shared" si="79"/>
        <v/>
      </c>
      <c r="X62" s="49" t="str">
        <f t="shared" si="79"/>
        <v/>
      </c>
      <c r="Y62" s="49" t="str">
        <f t="shared" si="79"/>
        <v/>
      </c>
      <c r="Z62" s="49" t="str">
        <f t="shared" si="79"/>
        <v/>
      </c>
      <c r="AA62" s="49" t="str">
        <f t="shared" si="79"/>
        <v/>
      </c>
      <c r="AB62" s="49" t="str">
        <f t="shared" si="79"/>
        <v/>
      </c>
      <c r="AC62" s="49" t="str">
        <f t="shared" si="79"/>
        <v/>
      </c>
      <c r="AD62" s="49" t="str">
        <f t="shared" si="79"/>
        <v/>
      </c>
      <c r="AE62" s="49" t="str">
        <f t="shared" si="79"/>
        <v/>
      </c>
      <c r="AF62" s="49" t="str">
        <f t="shared" si="79"/>
        <v/>
      </c>
      <c r="AG62" s="49" t="str">
        <f t="shared" si="79"/>
        <v/>
      </c>
      <c r="AH62" s="49" t="str">
        <f t="shared" si="79"/>
        <v/>
      </c>
      <c r="AI62" s="49" t="str">
        <f t="shared" si="79"/>
        <v/>
      </c>
      <c r="AJ62" s="49" t="str">
        <f t="shared" si="79"/>
        <v/>
      </c>
      <c r="AK62" s="49" t="str">
        <f t="shared" si="79"/>
        <v/>
      </c>
      <c r="AL62" s="49" t="str">
        <f t="shared" si="79"/>
        <v/>
      </c>
      <c r="AM62" s="49" t="str">
        <f t="shared" si="79"/>
        <v/>
      </c>
      <c r="AN62" s="49" t="str">
        <f t="shared" si="79"/>
        <v/>
      </c>
      <c r="AO62" s="49" t="str">
        <f t="shared" si="79"/>
        <v/>
      </c>
      <c r="AP62" s="49" t="str">
        <f t="shared" si="79"/>
        <v/>
      </c>
      <c r="AQ62" s="49" t="str">
        <f t="shared" si="79"/>
        <v/>
      </c>
      <c r="AR62" s="49" t="str">
        <f t="shared" si="79"/>
        <v/>
      </c>
      <c r="AS62" s="49" t="str">
        <f t="shared" si="79"/>
        <v/>
      </c>
      <c r="AT62" s="49" t="str">
        <f t="shared" si="79"/>
        <v/>
      </c>
      <c r="AU62" s="49" t="str">
        <f t="shared" si="79"/>
        <v/>
      </c>
      <c r="AV62" s="49" t="str">
        <f t="shared" si="79"/>
        <v/>
      </c>
      <c r="AW62" s="49" t="str">
        <f t="shared" si="79"/>
        <v/>
      </c>
      <c r="AX62" s="49" t="str">
        <f t="shared" si="79"/>
        <v/>
      </c>
      <c r="AY62" s="49" t="str">
        <f t="shared" si="79"/>
        <v/>
      </c>
      <c r="AZ62" s="49" t="str">
        <f t="shared" si="79"/>
        <v/>
      </c>
      <c r="BA62" s="49" t="str">
        <f t="shared" si="79"/>
        <v/>
      </c>
      <c r="BB62" s="49" t="str">
        <f t="shared" si="79"/>
        <v/>
      </c>
      <c r="BC62" s="49" t="str">
        <f t="shared" si="79"/>
        <v/>
      </c>
      <c r="BD62" s="49" t="str">
        <f t="shared" si="79"/>
        <v/>
      </c>
      <c r="BE62" s="49" t="str">
        <f t="shared" si="79"/>
        <v/>
      </c>
      <c r="BF62" s="49" t="str">
        <f t="shared" si="79"/>
        <v/>
      </c>
      <c r="BG62" s="49" t="str">
        <f t="shared" si="79"/>
        <v/>
      </c>
      <c r="BH62" s="49" t="str">
        <f t="shared" si="79"/>
        <v/>
      </c>
      <c r="BI62" s="49" t="str">
        <f t="shared" si="79"/>
        <v/>
      </c>
      <c r="BJ62" s="49" t="str">
        <f t="shared" si="79"/>
        <v/>
      </c>
      <c r="BK62" s="49" t="str">
        <f t="shared" si="79"/>
        <v/>
      </c>
      <c r="BL62" s="49" t="str">
        <f t="shared" si="79"/>
        <v/>
      </c>
      <c r="BM62" s="49" t="str">
        <f t="shared" si="79"/>
        <v/>
      </c>
      <c r="BN62" s="49" t="str">
        <f t="shared" si="79"/>
        <v/>
      </c>
      <c r="BO62" s="49" t="str">
        <f t="shared" si="79"/>
        <v/>
      </c>
      <c r="BP62" s="49" t="str">
        <f t="shared" si="79"/>
        <v/>
      </c>
      <c r="BQ62" s="49" t="str">
        <f t="shared" si="79"/>
        <v/>
      </c>
      <c r="BR62" s="49" t="str">
        <f t="shared" si="79"/>
        <v/>
      </c>
      <c r="BS62" s="49" t="str">
        <f t="shared" si="79"/>
        <v/>
      </c>
      <c r="BT62" s="49" t="str">
        <f t="shared" si="79"/>
        <v/>
      </c>
      <c r="BU62" s="49" t="str">
        <f t="shared" si="79"/>
        <v/>
      </c>
      <c r="BV62" s="49" t="str">
        <f t="shared" si="79"/>
        <v/>
      </c>
      <c r="BW62" s="49" t="str">
        <f t="shared" si="79"/>
        <v/>
      </c>
      <c r="BX62" s="49" t="str">
        <f t="shared" si="79"/>
        <v/>
      </c>
      <c r="BY62" s="49" t="str">
        <f t="shared" si="79"/>
        <v/>
      </c>
      <c r="BZ62" s="49" t="str">
        <f t="shared" si="79"/>
        <v/>
      </c>
      <c r="CA62" s="49" t="str">
        <f t="shared" si="79"/>
        <v/>
      </c>
      <c r="CB62" s="49" t="str">
        <f t="shared" si="79"/>
        <v/>
      </c>
      <c r="CC62" s="49" t="str">
        <f t="shared" si="79"/>
        <v/>
      </c>
      <c r="CD62" s="49" t="str">
        <f t="shared" si="79"/>
        <v/>
      </c>
      <c r="CE62" s="49" t="str">
        <f t="shared" si="79"/>
        <v/>
      </c>
      <c r="CF62" s="49" t="str">
        <f t="shared" si="79"/>
        <v/>
      </c>
      <c r="CG62" s="49" t="str">
        <f t="shared" si="79"/>
        <v/>
      </c>
      <c r="CH62" s="49" t="str">
        <f t="shared" si="79"/>
        <v/>
      </c>
      <c r="CI62" s="49" t="str">
        <f t="shared" si="79"/>
        <v/>
      </c>
      <c r="CJ62" s="49" t="str">
        <f t="shared" si="79"/>
        <v/>
      </c>
      <c r="CK62" s="49" t="str">
        <f t="shared" si="79"/>
        <v/>
      </c>
      <c r="CL62" s="49" t="str">
        <f t="shared" si="79"/>
        <v/>
      </c>
      <c r="CM62" s="49" t="str">
        <f t="shared" si="79"/>
        <v/>
      </c>
      <c r="CN62" s="49" t="str">
        <f t="shared" si="79"/>
        <v/>
      </c>
      <c r="CO62" s="49" t="str">
        <f t="shared" si="79"/>
        <v/>
      </c>
      <c r="CP62" s="49" t="str">
        <f t="shared" si="79"/>
        <v/>
      </c>
      <c r="CQ62" s="49" t="str">
        <f t="shared" si="79"/>
        <v/>
      </c>
      <c r="CR62" s="49" t="str">
        <f t="shared" si="79"/>
        <v/>
      </c>
      <c r="CS62" s="49" t="str">
        <f t="shared" si="79"/>
        <v/>
      </c>
      <c r="CT62" s="49" t="str">
        <f t="shared" si="79"/>
        <v/>
      </c>
      <c r="CU62" s="49" t="str">
        <f t="shared" si="79"/>
        <v/>
      </c>
      <c r="CV62" s="49" t="str">
        <f t="shared" si="79"/>
        <v/>
      </c>
      <c r="CW62" s="49" t="str">
        <f t="shared" si="79"/>
        <v/>
      </c>
      <c r="CX62" s="49" t="str">
        <f t="shared" si="79"/>
        <v/>
      </c>
      <c r="CY62" s="49" t="str">
        <f t="shared" si="79"/>
        <v/>
      </c>
      <c r="CZ62" s="49" t="str">
        <f t="shared" si="79"/>
        <v/>
      </c>
      <c r="DA62" s="49" t="str">
        <f t="shared" si="79"/>
        <v/>
      </c>
      <c r="DB62" s="49" t="str">
        <f t="shared" si="79"/>
        <v/>
      </c>
      <c r="DC62" s="49" t="str">
        <f t="shared" si="79"/>
        <v/>
      </c>
      <c r="DD62" s="49" t="str">
        <f t="shared" si="79"/>
        <v/>
      </c>
      <c r="DE62" s="49" t="str">
        <f t="shared" si="79"/>
        <v/>
      </c>
      <c r="DF62" s="49" t="str">
        <f t="shared" si="79"/>
        <v/>
      </c>
      <c r="DG62" s="49" t="str">
        <f t="shared" si="79"/>
        <v/>
      </c>
      <c r="DH62" s="49" t="str">
        <f t="shared" si="79"/>
        <v/>
      </c>
      <c r="DI62" s="49" t="str">
        <f t="shared" si="79"/>
        <v/>
      </c>
      <c r="DJ62" s="49" t="str">
        <f t="shared" si="79"/>
        <v/>
      </c>
    </row>
    <row r="63" spans="1:114" ht="15.75" customHeight="1" x14ac:dyDescent="0.55000000000000004">
      <c r="A63" s="41" t="e">
        <f>MASANIELLO!#REF!</f>
        <v>#REF!</v>
      </c>
      <c r="B63" s="41" t="e">
        <f t="shared" si="2"/>
        <v>#VALUE!</v>
      </c>
      <c r="C63" s="42" t="e">
        <f t="shared" si="3"/>
        <v>#VALUE!</v>
      </c>
      <c r="D63" s="42" t="e">
        <f t="shared" si="4"/>
        <v>#VALUE!</v>
      </c>
      <c r="E63" s="42" t="e">
        <f t="shared" si="5"/>
        <v>#VALUE!</v>
      </c>
      <c r="F63" s="42" t="e">
        <f t="shared" si="6"/>
        <v>#VALUE!</v>
      </c>
      <c r="G63" s="50" t="e">
        <f t="shared" si="7"/>
        <v>#VALUE!</v>
      </c>
      <c r="H63" s="41" t="e">
        <f t="shared" si="8"/>
        <v>#VALUE!</v>
      </c>
      <c r="I63" s="41" t="e">
        <f t="shared" si="9"/>
        <v>#VALUE!</v>
      </c>
      <c r="J63" s="45" t="e">
        <f t="shared" si="10"/>
        <v>#VALUE!</v>
      </c>
      <c r="M63" s="48" t="b">
        <f t="shared" si="11"/>
        <v>0</v>
      </c>
      <c r="N63" s="49" t="e">
        <f t="shared" ref="N63:DJ63" si="80">IF(N$1&gt;$L$2,   "",   IF(N$1=$L$2,  1,  IF($L$2-N$1=$L$1-$M63, $L$3^($L$1-$M63), ($L$3*N64*O64/(N64+($L$3-1)*O64) ))))</f>
        <v>#DIV/0!</v>
      </c>
      <c r="O63" s="49" t="e">
        <f t="shared" si="80"/>
        <v>#DIV/0!</v>
      </c>
      <c r="P63" s="49" t="e">
        <f t="shared" si="80"/>
        <v>#DIV/0!</v>
      </c>
      <c r="Q63" s="49" t="e">
        <f t="shared" si="80"/>
        <v>#DIV/0!</v>
      </c>
      <c r="R63" s="49">
        <f t="shared" si="80"/>
        <v>1</v>
      </c>
      <c r="S63" s="49" t="str">
        <f t="shared" si="80"/>
        <v/>
      </c>
      <c r="T63" s="49" t="str">
        <f t="shared" si="80"/>
        <v/>
      </c>
      <c r="U63" s="49" t="str">
        <f t="shared" si="80"/>
        <v/>
      </c>
      <c r="V63" s="49" t="str">
        <f t="shared" si="80"/>
        <v/>
      </c>
      <c r="W63" s="49" t="str">
        <f t="shared" si="80"/>
        <v/>
      </c>
      <c r="X63" s="49" t="str">
        <f t="shared" si="80"/>
        <v/>
      </c>
      <c r="Y63" s="49" t="str">
        <f t="shared" si="80"/>
        <v/>
      </c>
      <c r="Z63" s="49" t="str">
        <f t="shared" si="80"/>
        <v/>
      </c>
      <c r="AA63" s="49" t="str">
        <f t="shared" si="80"/>
        <v/>
      </c>
      <c r="AB63" s="49" t="str">
        <f t="shared" si="80"/>
        <v/>
      </c>
      <c r="AC63" s="49" t="str">
        <f t="shared" si="80"/>
        <v/>
      </c>
      <c r="AD63" s="49" t="str">
        <f t="shared" si="80"/>
        <v/>
      </c>
      <c r="AE63" s="49" t="str">
        <f t="shared" si="80"/>
        <v/>
      </c>
      <c r="AF63" s="49" t="str">
        <f t="shared" si="80"/>
        <v/>
      </c>
      <c r="AG63" s="49" t="str">
        <f t="shared" si="80"/>
        <v/>
      </c>
      <c r="AH63" s="49" t="str">
        <f t="shared" si="80"/>
        <v/>
      </c>
      <c r="AI63" s="49" t="str">
        <f t="shared" si="80"/>
        <v/>
      </c>
      <c r="AJ63" s="49" t="str">
        <f t="shared" si="80"/>
        <v/>
      </c>
      <c r="AK63" s="49" t="str">
        <f t="shared" si="80"/>
        <v/>
      </c>
      <c r="AL63" s="49" t="str">
        <f t="shared" si="80"/>
        <v/>
      </c>
      <c r="AM63" s="49" t="str">
        <f t="shared" si="80"/>
        <v/>
      </c>
      <c r="AN63" s="49" t="str">
        <f t="shared" si="80"/>
        <v/>
      </c>
      <c r="AO63" s="49" t="str">
        <f t="shared" si="80"/>
        <v/>
      </c>
      <c r="AP63" s="49" t="str">
        <f t="shared" si="80"/>
        <v/>
      </c>
      <c r="AQ63" s="49" t="str">
        <f t="shared" si="80"/>
        <v/>
      </c>
      <c r="AR63" s="49" t="str">
        <f t="shared" si="80"/>
        <v/>
      </c>
      <c r="AS63" s="49" t="str">
        <f t="shared" si="80"/>
        <v/>
      </c>
      <c r="AT63" s="49" t="str">
        <f t="shared" si="80"/>
        <v/>
      </c>
      <c r="AU63" s="49" t="str">
        <f t="shared" si="80"/>
        <v/>
      </c>
      <c r="AV63" s="49" t="str">
        <f t="shared" si="80"/>
        <v/>
      </c>
      <c r="AW63" s="49" t="str">
        <f t="shared" si="80"/>
        <v/>
      </c>
      <c r="AX63" s="49" t="str">
        <f t="shared" si="80"/>
        <v/>
      </c>
      <c r="AY63" s="49" t="str">
        <f t="shared" si="80"/>
        <v/>
      </c>
      <c r="AZ63" s="49" t="str">
        <f t="shared" si="80"/>
        <v/>
      </c>
      <c r="BA63" s="49" t="str">
        <f t="shared" si="80"/>
        <v/>
      </c>
      <c r="BB63" s="49" t="str">
        <f t="shared" si="80"/>
        <v/>
      </c>
      <c r="BC63" s="49" t="str">
        <f t="shared" si="80"/>
        <v/>
      </c>
      <c r="BD63" s="49" t="str">
        <f t="shared" si="80"/>
        <v/>
      </c>
      <c r="BE63" s="49" t="str">
        <f t="shared" si="80"/>
        <v/>
      </c>
      <c r="BF63" s="49" t="str">
        <f t="shared" si="80"/>
        <v/>
      </c>
      <c r="BG63" s="49" t="str">
        <f t="shared" si="80"/>
        <v/>
      </c>
      <c r="BH63" s="49" t="str">
        <f t="shared" si="80"/>
        <v/>
      </c>
      <c r="BI63" s="49" t="str">
        <f t="shared" si="80"/>
        <v/>
      </c>
      <c r="BJ63" s="49" t="str">
        <f t="shared" si="80"/>
        <v/>
      </c>
      <c r="BK63" s="49" t="str">
        <f t="shared" si="80"/>
        <v/>
      </c>
      <c r="BL63" s="49" t="str">
        <f t="shared" si="80"/>
        <v/>
      </c>
      <c r="BM63" s="49" t="str">
        <f t="shared" si="80"/>
        <v/>
      </c>
      <c r="BN63" s="49" t="str">
        <f t="shared" si="80"/>
        <v/>
      </c>
      <c r="BO63" s="49" t="str">
        <f t="shared" si="80"/>
        <v/>
      </c>
      <c r="BP63" s="49" t="str">
        <f t="shared" si="80"/>
        <v/>
      </c>
      <c r="BQ63" s="49" t="str">
        <f t="shared" si="80"/>
        <v/>
      </c>
      <c r="BR63" s="49" t="str">
        <f t="shared" si="80"/>
        <v/>
      </c>
      <c r="BS63" s="49" t="str">
        <f t="shared" si="80"/>
        <v/>
      </c>
      <c r="BT63" s="49" t="str">
        <f t="shared" si="80"/>
        <v/>
      </c>
      <c r="BU63" s="49" t="str">
        <f t="shared" si="80"/>
        <v/>
      </c>
      <c r="BV63" s="49" t="str">
        <f t="shared" si="80"/>
        <v/>
      </c>
      <c r="BW63" s="49" t="str">
        <f t="shared" si="80"/>
        <v/>
      </c>
      <c r="BX63" s="49" t="str">
        <f t="shared" si="80"/>
        <v/>
      </c>
      <c r="BY63" s="49" t="str">
        <f t="shared" si="80"/>
        <v/>
      </c>
      <c r="BZ63" s="49" t="str">
        <f t="shared" si="80"/>
        <v/>
      </c>
      <c r="CA63" s="49" t="str">
        <f t="shared" si="80"/>
        <v/>
      </c>
      <c r="CB63" s="49" t="str">
        <f t="shared" si="80"/>
        <v/>
      </c>
      <c r="CC63" s="49" t="str">
        <f t="shared" si="80"/>
        <v/>
      </c>
      <c r="CD63" s="49" t="str">
        <f t="shared" si="80"/>
        <v/>
      </c>
      <c r="CE63" s="49" t="str">
        <f t="shared" si="80"/>
        <v/>
      </c>
      <c r="CF63" s="49" t="str">
        <f t="shared" si="80"/>
        <v/>
      </c>
      <c r="CG63" s="49" t="str">
        <f t="shared" si="80"/>
        <v/>
      </c>
      <c r="CH63" s="49" t="str">
        <f t="shared" si="80"/>
        <v/>
      </c>
      <c r="CI63" s="49" t="str">
        <f t="shared" si="80"/>
        <v/>
      </c>
      <c r="CJ63" s="49" t="str">
        <f t="shared" si="80"/>
        <v/>
      </c>
      <c r="CK63" s="49" t="str">
        <f t="shared" si="80"/>
        <v/>
      </c>
      <c r="CL63" s="49" t="str">
        <f t="shared" si="80"/>
        <v/>
      </c>
      <c r="CM63" s="49" t="str">
        <f t="shared" si="80"/>
        <v/>
      </c>
      <c r="CN63" s="49" t="str">
        <f t="shared" si="80"/>
        <v/>
      </c>
      <c r="CO63" s="49" t="str">
        <f t="shared" si="80"/>
        <v/>
      </c>
      <c r="CP63" s="49" t="str">
        <f t="shared" si="80"/>
        <v/>
      </c>
      <c r="CQ63" s="49" t="str">
        <f t="shared" si="80"/>
        <v/>
      </c>
      <c r="CR63" s="49" t="str">
        <f t="shared" si="80"/>
        <v/>
      </c>
      <c r="CS63" s="49" t="str">
        <f t="shared" si="80"/>
        <v/>
      </c>
      <c r="CT63" s="49" t="str">
        <f t="shared" si="80"/>
        <v/>
      </c>
      <c r="CU63" s="49" t="str">
        <f t="shared" si="80"/>
        <v/>
      </c>
      <c r="CV63" s="49" t="str">
        <f t="shared" si="80"/>
        <v/>
      </c>
      <c r="CW63" s="49" t="str">
        <f t="shared" si="80"/>
        <v/>
      </c>
      <c r="CX63" s="49" t="str">
        <f t="shared" si="80"/>
        <v/>
      </c>
      <c r="CY63" s="49" t="str">
        <f t="shared" si="80"/>
        <v/>
      </c>
      <c r="CZ63" s="49" t="str">
        <f t="shared" si="80"/>
        <v/>
      </c>
      <c r="DA63" s="49" t="str">
        <f t="shared" si="80"/>
        <v/>
      </c>
      <c r="DB63" s="49" t="str">
        <f t="shared" si="80"/>
        <v/>
      </c>
      <c r="DC63" s="49" t="str">
        <f t="shared" si="80"/>
        <v/>
      </c>
      <c r="DD63" s="49" t="str">
        <f t="shared" si="80"/>
        <v/>
      </c>
      <c r="DE63" s="49" t="str">
        <f t="shared" si="80"/>
        <v/>
      </c>
      <c r="DF63" s="49" t="str">
        <f t="shared" si="80"/>
        <v/>
      </c>
      <c r="DG63" s="49" t="str">
        <f t="shared" si="80"/>
        <v/>
      </c>
      <c r="DH63" s="49" t="str">
        <f t="shared" si="80"/>
        <v/>
      </c>
      <c r="DI63" s="49" t="str">
        <f t="shared" si="80"/>
        <v/>
      </c>
      <c r="DJ63" s="49" t="str">
        <f t="shared" si="80"/>
        <v/>
      </c>
    </row>
    <row r="64" spans="1:114" ht="15.75" customHeight="1" x14ac:dyDescent="0.55000000000000004">
      <c r="A64" s="41" t="e">
        <f>MASANIELLO!#REF!</f>
        <v>#REF!</v>
      </c>
      <c r="B64" s="41" t="e">
        <f t="shared" si="2"/>
        <v>#VALUE!</v>
      </c>
      <c r="C64" s="42" t="e">
        <f t="shared" si="3"/>
        <v>#VALUE!</v>
      </c>
      <c r="D64" s="42" t="e">
        <f t="shared" si="4"/>
        <v>#VALUE!</v>
      </c>
      <c r="E64" s="42" t="e">
        <f t="shared" si="5"/>
        <v>#VALUE!</v>
      </c>
      <c r="F64" s="42" t="e">
        <f t="shared" si="6"/>
        <v>#VALUE!</v>
      </c>
      <c r="G64" s="50" t="e">
        <f t="shared" si="7"/>
        <v>#VALUE!</v>
      </c>
      <c r="H64" s="41" t="e">
        <f t="shared" si="8"/>
        <v>#VALUE!</v>
      </c>
      <c r="I64" s="41" t="e">
        <f t="shared" si="9"/>
        <v>#VALUE!</v>
      </c>
      <c r="J64" s="45" t="e">
        <f t="shared" si="10"/>
        <v>#VALUE!</v>
      </c>
      <c r="M64" s="48" t="b">
        <f t="shared" si="11"/>
        <v>0</v>
      </c>
      <c r="N64" s="49" t="e">
        <f t="shared" ref="N64:DJ64" si="81">IF(N$1&gt;$L$2,   "",   IF(N$1=$L$2,  1,  IF($L$2-N$1=$L$1-$M64, $L$3^($L$1-$M64), ($L$3*N65*O65/(N65+($L$3-1)*O65) ))))</f>
        <v>#DIV/0!</v>
      </c>
      <c r="O64" s="49" t="e">
        <f t="shared" si="81"/>
        <v>#DIV/0!</v>
      </c>
      <c r="P64" s="49" t="e">
        <f t="shared" si="81"/>
        <v>#DIV/0!</v>
      </c>
      <c r="Q64" s="49" t="e">
        <f t="shared" si="81"/>
        <v>#DIV/0!</v>
      </c>
      <c r="R64" s="49">
        <f t="shared" si="81"/>
        <v>1</v>
      </c>
      <c r="S64" s="49" t="str">
        <f t="shared" si="81"/>
        <v/>
      </c>
      <c r="T64" s="49" t="str">
        <f t="shared" si="81"/>
        <v/>
      </c>
      <c r="U64" s="49" t="str">
        <f t="shared" si="81"/>
        <v/>
      </c>
      <c r="V64" s="49" t="str">
        <f t="shared" si="81"/>
        <v/>
      </c>
      <c r="W64" s="49" t="str">
        <f t="shared" si="81"/>
        <v/>
      </c>
      <c r="X64" s="49" t="str">
        <f t="shared" si="81"/>
        <v/>
      </c>
      <c r="Y64" s="49" t="str">
        <f t="shared" si="81"/>
        <v/>
      </c>
      <c r="Z64" s="49" t="str">
        <f t="shared" si="81"/>
        <v/>
      </c>
      <c r="AA64" s="49" t="str">
        <f t="shared" si="81"/>
        <v/>
      </c>
      <c r="AB64" s="49" t="str">
        <f t="shared" si="81"/>
        <v/>
      </c>
      <c r="AC64" s="49" t="str">
        <f t="shared" si="81"/>
        <v/>
      </c>
      <c r="AD64" s="49" t="str">
        <f t="shared" si="81"/>
        <v/>
      </c>
      <c r="AE64" s="49" t="str">
        <f t="shared" si="81"/>
        <v/>
      </c>
      <c r="AF64" s="49" t="str">
        <f t="shared" si="81"/>
        <v/>
      </c>
      <c r="AG64" s="49" t="str">
        <f t="shared" si="81"/>
        <v/>
      </c>
      <c r="AH64" s="49" t="str">
        <f t="shared" si="81"/>
        <v/>
      </c>
      <c r="AI64" s="49" t="str">
        <f t="shared" si="81"/>
        <v/>
      </c>
      <c r="AJ64" s="49" t="str">
        <f t="shared" si="81"/>
        <v/>
      </c>
      <c r="AK64" s="49" t="str">
        <f t="shared" si="81"/>
        <v/>
      </c>
      <c r="AL64" s="49" t="str">
        <f t="shared" si="81"/>
        <v/>
      </c>
      <c r="AM64" s="49" t="str">
        <f t="shared" si="81"/>
        <v/>
      </c>
      <c r="AN64" s="49" t="str">
        <f t="shared" si="81"/>
        <v/>
      </c>
      <c r="AO64" s="49" t="str">
        <f t="shared" si="81"/>
        <v/>
      </c>
      <c r="AP64" s="49" t="str">
        <f t="shared" si="81"/>
        <v/>
      </c>
      <c r="AQ64" s="49" t="str">
        <f t="shared" si="81"/>
        <v/>
      </c>
      <c r="AR64" s="49" t="str">
        <f t="shared" si="81"/>
        <v/>
      </c>
      <c r="AS64" s="49" t="str">
        <f t="shared" si="81"/>
        <v/>
      </c>
      <c r="AT64" s="49" t="str">
        <f t="shared" si="81"/>
        <v/>
      </c>
      <c r="AU64" s="49" t="str">
        <f t="shared" si="81"/>
        <v/>
      </c>
      <c r="AV64" s="49" t="str">
        <f t="shared" si="81"/>
        <v/>
      </c>
      <c r="AW64" s="49" t="str">
        <f t="shared" si="81"/>
        <v/>
      </c>
      <c r="AX64" s="49" t="str">
        <f t="shared" si="81"/>
        <v/>
      </c>
      <c r="AY64" s="49" t="str">
        <f t="shared" si="81"/>
        <v/>
      </c>
      <c r="AZ64" s="49" t="str">
        <f t="shared" si="81"/>
        <v/>
      </c>
      <c r="BA64" s="49" t="str">
        <f t="shared" si="81"/>
        <v/>
      </c>
      <c r="BB64" s="49" t="str">
        <f t="shared" si="81"/>
        <v/>
      </c>
      <c r="BC64" s="49" t="str">
        <f t="shared" si="81"/>
        <v/>
      </c>
      <c r="BD64" s="49" t="str">
        <f t="shared" si="81"/>
        <v/>
      </c>
      <c r="BE64" s="49" t="str">
        <f t="shared" si="81"/>
        <v/>
      </c>
      <c r="BF64" s="49" t="str">
        <f t="shared" si="81"/>
        <v/>
      </c>
      <c r="BG64" s="49" t="str">
        <f t="shared" si="81"/>
        <v/>
      </c>
      <c r="BH64" s="49" t="str">
        <f t="shared" si="81"/>
        <v/>
      </c>
      <c r="BI64" s="49" t="str">
        <f t="shared" si="81"/>
        <v/>
      </c>
      <c r="BJ64" s="49" t="str">
        <f t="shared" si="81"/>
        <v/>
      </c>
      <c r="BK64" s="49" t="str">
        <f t="shared" si="81"/>
        <v/>
      </c>
      <c r="BL64" s="49" t="str">
        <f t="shared" si="81"/>
        <v/>
      </c>
      <c r="BM64" s="49" t="str">
        <f t="shared" si="81"/>
        <v/>
      </c>
      <c r="BN64" s="49" t="str">
        <f t="shared" si="81"/>
        <v/>
      </c>
      <c r="BO64" s="49" t="str">
        <f t="shared" si="81"/>
        <v/>
      </c>
      <c r="BP64" s="49" t="str">
        <f t="shared" si="81"/>
        <v/>
      </c>
      <c r="BQ64" s="49" t="str">
        <f t="shared" si="81"/>
        <v/>
      </c>
      <c r="BR64" s="49" t="str">
        <f t="shared" si="81"/>
        <v/>
      </c>
      <c r="BS64" s="49" t="str">
        <f t="shared" si="81"/>
        <v/>
      </c>
      <c r="BT64" s="49" t="str">
        <f t="shared" si="81"/>
        <v/>
      </c>
      <c r="BU64" s="49" t="str">
        <f t="shared" si="81"/>
        <v/>
      </c>
      <c r="BV64" s="49" t="str">
        <f t="shared" si="81"/>
        <v/>
      </c>
      <c r="BW64" s="49" t="str">
        <f t="shared" si="81"/>
        <v/>
      </c>
      <c r="BX64" s="49" t="str">
        <f t="shared" si="81"/>
        <v/>
      </c>
      <c r="BY64" s="49" t="str">
        <f t="shared" si="81"/>
        <v/>
      </c>
      <c r="BZ64" s="49" t="str">
        <f t="shared" si="81"/>
        <v/>
      </c>
      <c r="CA64" s="49" t="str">
        <f t="shared" si="81"/>
        <v/>
      </c>
      <c r="CB64" s="49" t="str">
        <f t="shared" si="81"/>
        <v/>
      </c>
      <c r="CC64" s="49" t="str">
        <f t="shared" si="81"/>
        <v/>
      </c>
      <c r="CD64" s="49" t="str">
        <f t="shared" si="81"/>
        <v/>
      </c>
      <c r="CE64" s="49" t="str">
        <f t="shared" si="81"/>
        <v/>
      </c>
      <c r="CF64" s="49" t="str">
        <f t="shared" si="81"/>
        <v/>
      </c>
      <c r="CG64" s="49" t="str">
        <f t="shared" si="81"/>
        <v/>
      </c>
      <c r="CH64" s="49" t="str">
        <f t="shared" si="81"/>
        <v/>
      </c>
      <c r="CI64" s="49" t="str">
        <f t="shared" si="81"/>
        <v/>
      </c>
      <c r="CJ64" s="49" t="str">
        <f t="shared" si="81"/>
        <v/>
      </c>
      <c r="CK64" s="49" t="str">
        <f t="shared" si="81"/>
        <v/>
      </c>
      <c r="CL64" s="49" t="str">
        <f t="shared" si="81"/>
        <v/>
      </c>
      <c r="CM64" s="49" t="str">
        <f t="shared" si="81"/>
        <v/>
      </c>
      <c r="CN64" s="49" t="str">
        <f t="shared" si="81"/>
        <v/>
      </c>
      <c r="CO64" s="49" t="str">
        <f t="shared" si="81"/>
        <v/>
      </c>
      <c r="CP64" s="49" t="str">
        <f t="shared" si="81"/>
        <v/>
      </c>
      <c r="CQ64" s="49" t="str">
        <f t="shared" si="81"/>
        <v/>
      </c>
      <c r="CR64" s="49" t="str">
        <f t="shared" si="81"/>
        <v/>
      </c>
      <c r="CS64" s="49" t="str">
        <f t="shared" si="81"/>
        <v/>
      </c>
      <c r="CT64" s="49" t="str">
        <f t="shared" si="81"/>
        <v/>
      </c>
      <c r="CU64" s="49" t="str">
        <f t="shared" si="81"/>
        <v/>
      </c>
      <c r="CV64" s="49" t="str">
        <f t="shared" si="81"/>
        <v/>
      </c>
      <c r="CW64" s="49" t="str">
        <f t="shared" si="81"/>
        <v/>
      </c>
      <c r="CX64" s="49" t="str">
        <f t="shared" si="81"/>
        <v/>
      </c>
      <c r="CY64" s="49" t="str">
        <f t="shared" si="81"/>
        <v/>
      </c>
      <c r="CZ64" s="49" t="str">
        <f t="shared" si="81"/>
        <v/>
      </c>
      <c r="DA64" s="49" t="str">
        <f t="shared" si="81"/>
        <v/>
      </c>
      <c r="DB64" s="49" t="str">
        <f t="shared" si="81"/>
        <v/>
      </c>
      <c r="DC64" s="49" t="str">
        <f t="shared" si="81"/>
        <v/>
      </c>
      <c r="DD64" s="49" t="str">
        <f t="shared" si="81"/>
        <v/>
      </c>
      <c r="DE64" s="49" t="str">
        <f t="shared" si="81"/>
        <v/>
      </c>
      <c r="DF64" s="49" t="str">
        <f t="shared" si="81"/>
        <v/>
      </c>
      <c r="DG64" s="49" t="str">
        <f t="shared" si="81"/>
        <v/>
      </c>
      <c r="DH64" s="49" t="str">
        <f t="shared" si="81"/>
        <v/>
      </c>
      <c r="DI64" s="49" t="str">
        <f t="shared" si="81"/>
        <v/>
      </c>
      <c r="DJ64" s="49" t="str">
        <f t="shared" si="81"/>
        <v/>
      </c>
    </row>
    <row r="65" spans="1:114" ht="15.75" customHeight="1" x14ac:dyDescent="0.55000000000000004">
      <c r="A65" s="41" t="e">
        <f>MASANIELLO!#REF!</f>
        <v>#REF!</v>
      </c>
      <c r="B65" s="41" t="e">
        <f t="shared" si="2"/>
        <v>#VALUE!</v>
      </c>
      <c r="C65" s="42" t="e">
        <f t="shared" si="3"/>
        <v>#VALUE!</v>
      </c>
      <c r="D65" s="42" t="e">
        <f t="shared" si="4"/>
        <v>#VALUE!</v>
      </c>
      <c r="E65" s="42" t="e">
        <f t="shared" si="5"/>
        <v>#VALUE!</v>
      </c>
      <c r="F65" s="42" t="e">
        <f t="shared" si="6"/>
        <v>#VALUE!</v>
      </c>
      <c r="G65" s="50" t="e">
        <f t="shared" si="7"/>
        <v>#VALUE!</v>
      </c>
      <c r="H65" s="41" t="e">
        <f t="shared" si="8"/>
        <v>#VALUE!</v>
      </c>
      <c r="I65" s="41" t="e">
        <f t="shared" si="9"/>
        <v>#VALUE!</v>
      </c>
      <c r="J65" s="45" t="e">
        <f t="shared" si="10"/>
        <v>#VALUE!</v>
      </c>
      <c r="M65" s="48" t="b">
        <f t="shared" si="11"/>
        <v>0</v>
      </c>
      <c r="N65" s="49" t="e">
        <f t="shared" ref="N65:DJ65" si="82">IF(N$1&gt;$L$2,   "",   IF(N$1=$L$2,  1,  IF($L$2-N$1=$L$1-$M65, $L$3^($L$1-$M65), ($L$3*N66*O66/(N66+($L$3-1)*O66) ))))</f>
        <v>#DIV/0!</v>
      </c>
      <c r="O65" s="49" t="e">
        <f t="shared" si="82"/>
        <v>#DIV/0!</v>
      </c>
      <c r="P65" s="49" t="e">
        <f t="shared" si="82"/>
        <v>#DIV/0!</v>
      </c>
      <c r="Q65" s="49" t="e">
        <f t="shared" si="82"/>
        <v>#DIV/0!</v>
      </c>
      <c r="R65" s="49">
        <f t="shared" si="82"/>
        <v>1</v>
      </c>
      <c r="S65" s="49" t="str">
        <f t="shared" si="82"/>
        <v/>
      </c>
      <c r="T65" s="49" t="str">
        <f t="shared" si="82"/>
        <v/>
      </c>
      <c r="U65" s="49" t="str">
        <f t="shared" si="82"/>
        <v/>
      </c>
      <c r="V65" s="49" t="str">
        <f t="shared" si="82"/>
        <v/>
      </c>
      <c r="W65" s="49" t="str">
        <f t="shared" si="82"/>
        <v/>
      </c>
      <c r="X65" s="49" t="str">
        <f t="shared" si="82"/>
        <v/>
      </c>
      <c r="Y65" s="49" t="str">
        <f t="shared" si="82"/>
        <v/>
      </c>
      <c r="Z65" s="49" t="str">
        <f t="shared" si="82"/>
        <v/>
      </c>
      <c r="AA65" s="49" t="str">
        <f t="shared" si="82"/>
        <v/>
      </c>
      <c r="AB65" s="49" t="str">
        <f t="shared" si="82"/>
        <v/>
      </c>
      <c r="AC65" s="49" t="str">
        <f t="shared" si="82"/>
        <v/>
      </c>
      <c r="AD65" s="49" t="str">
        <f t="shared" si="82"/>
        <v/>
      </c>
      <c r="AE65" s="49" t="str">
        <f t="shared" si="82"/>
        <v/>
      </c>
      <c r="AF65" s="49" t="str">
        <f t="shared" si="82"/>
        <v/>
      </c>
      <c r="AG65" s="49" t="str">
        <f t="shared" si="82"/>
        <v/>
      </c>
      <c r="AH65" s="49" t="str">
        <f t="shared" si="82"/>
        <v/>
      </c>
      <c r="AI65" s="49" t="str">
        <f t="shared" si="82"/>
        <v/>
      </c>
      <c r="AJ65" s="49" t="str">
        <f t="shared" si="82"/>
        <v/>
      </c>
      <c r="AK65" s="49" t="str">
        <f t="shared" si="82"/>
        <v/>
      </c>
      <c r="AL65" s="49" t="str">
        <f t="shared" si="82"/>
        <v/>
      </c>
      <c r="AM65" s="49" t="str">
        <f t="shared" si="82"/>
        <v/>
      </c>
      <c r="AN65" s="49" t="str">
        <f t="shared" si="82"/>
        <v/>
      </c>
      <c r="AO65" s="49" t="str">
        <f t="shared" si="82"/>
        <v/>
      </c>
      <c r="AP65" s="49" t="str">
        <f t="shared" si="82"/>
        <v/>
      </c>
      <c r="AQ65" s="49" t="str">
        <f t="shared" si="82"/>
        <v/>
      </c>
      <c r="AR65" s="49" t="str">
        <f t="shared" si="82"/>
        <v/>
      </c>
      <c r="AS65" s="49" t="str">
        <f t="shared" si="82"/>
        <v/>
      </c>
      <c r="AT65" s="49" t="str">
        <f t="shared" si="82"/>
        <v/>
      </c>
      <c r="AU65" s="49" t="str">
        <f t="shared" si="82"/>
        <v/>
      </c>
      <c r="AV65" s="49" t="str">
        <f t="shared" si="82"/>
        <v/>
      </c>
      <c r="AW65" s="49" t="str">
        <f t="shared" si="82"/>
        <v/>
      </c>
      <c r="AX65" s="49" t="str">
        <f t="shared" si="82"/>
        <v/>
      </c>
      <c r="AY65" s="49" t="str">
        <f t="shared" si="82"/>
        <v/>
      </c>
      <c r="AZ65" s="49" t="str">
        <f t="shared" si="82"/>
        <v/>
      </c>
      <c r="BA65" s="49" t="str">
        <f t="shared" si="82"/>
        <v/>
      </c>
      <c r="BB65" s="49" t="str">
        <f t="shared" si="82"/>
        <v/>
      </c>
      <c r="BC65" s="49" t="str">
        <f t="shared" si="82"/>
        <v/>
      </c>
      <c r="BD65" s="49" t="str">
        <f t="shared" si="82"/>
        <v/>
      </c>
      <c r="BE65" s="49" t="str">
        <f t="shared" si="82"/>
        <v/>
      </c>
      <c r="BF65" s="49" t="str">
        <f t="shared" si="82"/>
        <v/>
      </c>
      <c r="BG65" s="49" t="str">
        <f t="shared" si="82"/>
        <v/>
      </c>
      <c r="BH65" s="49" t="str">
        <f t="shared" si="82"/>
        <v/>
      </c>
      <c r="BI65" s="49" t="str">
        <f t="shared" si="82"/>
        <v/>
      </c>
      <c r="BJ65" s="49" t="str">
        <f t="shared" si="82"/>
        <v/>
      </c>
      <c r="BK65" s="49" t="str">
        <f t="shared" si="82"/>
        <v/>
      </c>
      <c r="BL65" s="49" t="str">
        <f t="shared" si="82"/>
        <v/>
      </c>
      <c r="BM65" s="49" t="str">
        <f t="shared" si="82"/>
        <v/>
      </c>
      <c r="BN65" s="49" t="str">
        <f t="shared" si="82"/>
        <v/>
      </c>
      <c r="BO65" s="49" t="str">
        <f t="shared" si="82"/>
        <v/>
      </c>
      <c r="BP65" s="49" t="str">
        <f t="shared" si="82"/>
        <v/>
      </c>
      <c r="BQ65" s="49" t="str">
        <f t="shared" si="82"/>
        <v/>
      </c>
      <c r="BR65" s="49" t="str">
        <f t="shared" si="82"/>
        <v/>
      </c>
      <c r="BS65" s="49" t="str">
        <f t="shared" si="82"/>
        <v/>
      </c>
      <c r="BT65" s="49" t="str">
        <f t="shared" si="82"/>
        <v/>
      </c>
      <c r="BU65" s="49" t="str">
        <f t="shared" si="82"/>
        <v/>
      </c>
      <c r="BV65" s="49" t="str">
        <f t="shared" si="82"/>
        <v/>
      </c>
      <c r="BW65" s="49" t="str">
        <f t="shared" si="82"/>
        <v/>
      </c>
      <c r="BX65" s="49" t="str">
        <f t="shared" si="82"/>
        <v/>
      </c>
      <c r="BY65" s="49" t="str">
        <f t="shared" si="82"/>
        <v/>
      </c>
      <c r="BZ65" s="49" t="str">
        <f t="shared" si="82"/>
        <v/>
      </c>
      <c r="CA65" s="49" t="str">
        <f t="shared" si="82"/>
        <v/>
      </c>
      <c r="CB65" s="49" t="str">
        <f t="shared" si="82"/>
        <v/>
      </c>
      <c r="CC65" s="49" t="str">
        <f t="shared" si="82"/>
        <v/>
      </c>
      <c r="CD65" s="49" t="str">
        <f t="shared" si="82"/>
        <v/>
      </c>
      <c r="CE65" s="49" t="str">
        <f t="shared" si="82"/>
        <v/>
      </c>
      <c r="CF65" s="49" t="str">
        <f t="shared" si="82"/>
        <v/>
      </c>
      <c r="CG65" s="49" t="str">
        <f t="shared" si="82"/>
        <v/>
      </c>
      <c r="CH65" s="49" t="str">
        <f t="shared" si="82"/>
        <v/>
      </c>
      <c r="CI65" s="49" t="str">
        <f t="shared" si="82"/>
        <v/>
      </c>
      <c r="CJ65" s="49" t="str">
        <f t="shared" si="82"/>
        <v/>
      </c>
      <c r="CK65" s="49" t="str">
        <f t="shared" si="82"/>
        <v/>
      </c>
      <c r="CL65" s="49" t="str">
        <f t="shared" si="82"/>
        <v/>
      </c>
      <c r="CM65" s="49" t="str">
        <f t="shared" si="82"/>
        <v/>
      </c>
      <c r="CN65" s="49" t="str">
        <f t="shared" si="82"/>
        <v/>
      </c>
      <c r="CO65" s="49" t="str">
        <f t="shared" si="82"/>
        <v/>
      </c>
      <c r="CP65" s="49" t="str">
        <f t="shared" si="82"/>
        <v/>
      </c>
      <c r="CQ65" s="49" t="str">
        <f t="shared" si="82"/>
        <v/>
      </c>
      <c r="CR65" s="49" t="str">
        <f t="shared" si="82"/>
        <v/>
      </c>
      <c r="CS65" s="49" t="str">
        <f t="shared" si="82"/>
        <v/>
      </c>
      <c r="CT65" s="49" t="str">
        <f t="shared" si="82"/>
        <v/>
      </c>
      <c r="CU65" s="49" t="str">
        <f t="shared" si="82"/>
        <v/>
      </c>
      <c r="CV65" s="49" t="str">
        <f t="shared" si="82"/>
        <v/>
      </c>
      <c r="CW65" s="49" t="str">
        <f t="shared" si="82"/>
        <v/>
      </c>
      <c r="CX65" s="49" t="str">
        <f t="shared" si="82"/>
        <v/>
      </c>
      <c r="CY65" s="49" t="str">
        <f t="shared" si="82"/>
        <v/>
      </c>
      <c r="CZ65" s="49" t="str">
        <f t="shared" si="82"/>
        <v/>
      </c>
      <c r="DA65" s="49" t="str">
        <f t="shared" si="82"/>
        <v/>
      </c>
      <c r="DB65" s="49" t="str">
        <f t="shared" si="82"/>
        <v/>
      </c>
      <c r="DC65" s="49" t="str">
        <f t="shared" si="82"/>
        <v/>
      </c>
      <c r="DD65" s="49" t="str">
        <f t="shared" si="82"/>
        <v/>
      </c>
      <c r="DE65" s="49" t="str">
        <f t="shared" si="82"/>
        <v/>
      </c>
      <c r="DF65" s="49" t="str">
        <f t="shared" si="82"/>
        <v/>
      </c>
      <c r="DG65" s="49" t="str">
        <f t="shared" si="82"/>
        <v/>
      </c>
      <c r="DH65" s="49" t="str">
        <f t="shared" si="82"/>
        <v/>
      </c>
      <c r="DI65" s="49" t="str">
        <f t="shared" si="82"/>
        <v/>
      </c>
      <c r="DJ65" s="49" t="str">
        <f t="shared" si="82"/>
        <v/>
      </c>
    </row>
    <row r="66" spans="1:114" ht="15.75" customHeight="1" x14ac:dyDescent="0.55000000000000004">
      <c r="A66" s="41" t="e">
        <f>MASANIELLO!#REF!</f>
        <v>#REF!</v>
      </c>
      <c r="B66" s="41" t="e">
        <f t="shared" si="2"/>
        <v>#VALUE!</v>
      </c>
      <c r="C66" s="42" t="e">
        <f t="shared" si="3"/>
        <v>#VALUE!</v>
      </c>
      <c r="D66" s="42" t="e">
        <f t="shared" si="4"/>
        <v>#VALUE!</v>
      </c>
      <c r="E66" s="42" t="e">
        <f t="shared" si="5"/>
        <v>#VALUE!</v>
      </c>
      <c r="F66" s="42" t="e">
        <f t="shared" si="6"/>
        <v>#VALUE!</v>
      </c>
      <c r="G66" s="50" t="e">
        <f t="shared" si="7"/>
        <v>#VALUE!</v>
      </c>
      <c r="H66" s="41" t="e">
        <f t="shared" si="8"/>
        <v>#VALUE!</v>
      </c>
      <c r="I66" s="41" t="e">
        <f t="shared" si="9"/>
        <v>#VALUE!</v>
      </c>
      <c r="J66" s="45" t="e">
        <f t="shared" si="10"/>
        <v>#VALUE!</v>
      </c>
      <c r="M66" s="48" t="b">
        <f t="shared" si="11"/>
        <v>0</v>
      </c>
      <c r="N66" s="49" t="e">
        <f t="shared" ref="N66:DJ66" si="83">IF(N$1&gt;$L$2,   "",   IF(N$1=$L$2,  1,  IF($L$2-N$1=$L$1-$M66, $L$3^($L$1-$M66), ($L$3*N67*O67/(N67+($L$3-1)*O67) ))))</f>
        <v>#DIV/0!</v>
      </c>
      <c r="O66" s="49" t="e">
        <f t="shared" si="83"/>
        <v>#DIV/0!</v>
      </c>
      <c r="P66" s="49" t="e">
        <f t="shared" si="83"/>
        <v>#DIV/0!</v>
      </c>
      <c r="Q66" s="49" t="e">
        <f t="shared" si="83"/>
        <v>#DIV/0!</v>
      </c>
      <c r="R66" s="49">
        <f t="shared" si="83"/>
        <v>1</v>
      </c>
      <c r="S66" s="49" t="str">
        <f t="shared" si="83"/>
        <v/>
      </c>
      <c r="T66" s="49" t="str">
        <f t="shared" si="83"/>
        <v/>
      </c>
      <c r="U66" s="49" t="str">
        <f t="shared" si="83"/>
        <v/>
      </c>
      <c r="V66" s="49" t="str">
        <f t="shared" si="83"/>
        <v/>
      </c>
      <c r="W66" s="49" t="str">
        <f t="shared" si="83"/>
        <v/>
      </c>
      <c r="X66" s="49" t="str">
        <f t="shared" si="83"/>
        <v/>
      </c>
      <c r="Y66" s="49" t="str">
        <f t="shared" si="83"/>
        <v/>
      </c>
      <c r="Z66" s="49" t="str">
        <f t="shared" si="83"/>
        <v/>
      </c>
      <c r="AA66" s="49" t="str">
        <f t="shared" si="83"/>
        <v/>
      </c>
      <c r="AB66" s="49" t="str">
        <f t="shared" si="83"/>
        <v/>
      </c>
      <c r="AC66" s="49" t="str">
        <f t="shared" si="83"/>
        <v/>
      </c>
      <c r="AD66" s="49" t="str">
        <f t="shared" si="83"/>
        <v/>
      </c>
      <c r="AE66" s="49" t="str">
        <f t="shared" si="83"/>
        <v/>
      </c>
      <c r="AF66" s="49" t="str">
        <f t="shared" si="83"/>
        <v/>
      </c>
      <c r="AG66" s="49" t="str">
        <f t="shared" si="83"/>
        <v/>
      </c>
      <c r="AH66" s="49" t="str">
        <f t="shared" si="83"/>
        <v/>
      </c>
      <c r="AI66" s="49" t="str">
        <f t="shared" si="83"/>
        <v/>
      </c>
      <c r="AJ66" s="49" t="str">
        <f t="shared" si="83"/>
        <v/>
      </c>
      <c r="AK66" s="49" t="str">
        <f t="shared" si="83"/>
        <v/>
      </c>
      <c r="AL66" s="49" t="str">
        <f t="shared" si="83"/>
        <v/>
      </c>
      <c r="AM66" s="49" t="str">
        <f t="shared" si="83"/>
        <v/>
      </c>
      <c r="AN66" s="49" t="str">
        <f t="shared" si="83"/>
        <v/>
      </c>
      <c r="AO66" s="49" t="str">
        <f t="shared" si="83"/>
        <v/>
      </c>
      <c r="AP66" s="49" t="str">
        <f t="shared" si="83"/>
        <v/>
      </c>
      <c r="AQ66" s="49" t="str">
        <f t="shared" si="83"/>
        <v/>
      </c>
      <c r="AR66" s="49" t="str">
        <f t="shared" si="83"/>
        <v/>
      </c>
      <c r="AS66" s="49" t="str">
        <f t="shared" si="83"/>
        <v/>
      </c>
      <c r="AT66" s="49" t="str">
        <f t="shared" si="83"/>
        <v/>
      </c>
      <c r="AU66" s="49" t="str">
        <f t="shared" si="83"/>
        <v/>
      </c>
      <c r="AV66" s="49" t="str">
        <f t="shared" si="83"/>
        <v/>
      </c>
      <c r="AW66" s="49" t="str">
        <f t="shared" si="83"/>
        <v/>
      </c>
      <c r="AX66" s="49" t="str">
        <f t="shared" si="83"/>
        <v/>
      </c>
      <c r="AY66" s="49" t="str">
        <f t="shared" si="83"/>
        <v/>
      </c>
      <c r="AZ66" s="49" t="str">
        <f t="shared" si="83"/>
        <v/>
      </c>
      <c r="BA66" s="49" t="str">
        <f t="shared" si="83"/>
        <v/>
      </c>
      <c r="BB66" s="49" t="str">
        <f t="shared" si="83"/>
        <v/>
      </c>
      <c r="BC66" s="49" t="str">
        <f t="shared" si="83"/>
        <v/>
      </c>
      <c r="BD66" s="49" t="str">
        <f t="shared" si="83"/>
        <v/>
      </c>
      <c r="BE66" s="49" t="str">
        <f t="shared" si="83"/>
        <v/>
      </c>
      <c r="BF66" s="49" t="str">
        <f t="shared" si="83"/>
        <v/>
      </c>
      <c r="BG66" s="49" t="str">
        <f t="shared" si="83"/>
        <v/>
      </c>
      <c r="BH66" s="49" t="str">
        <f t="shared" si="83"/>
        <v/>
      </c>
      <c r="BI66" s="49" t="str">
        <f t="shared" si="83"/>
        <v/>
      </c>
      <c r="BJ66" s="49" t="str">
        <f t="shared" si="83"/>
        <v/>
      </c>
      <c r="BK66" s="49" t="str">
        <f t="shared" si="83"/>
        <v/>
      </c>
      <c r="BL66" s="49" t="str">
        <f t="shared" si="83"/>
        <v/>
      </c>
      <c r="BM66" s="49" t="str">
        <f t="shared" si="83"/>
        <v/>
      </c>
      <c r="BN66" s="49" t="str">
        <f t="shared" si="83"/>
        <v/>
      </c>
      <c r="BO66" s="49" t="str">
        <f t="shared" si="83"/>
        <v/>
      </c>
      <c r="BP66" s="49" t="str">
        <f t="shared" si="83"/>
        <v/>
      </c>
      <c r="BQ66" s="49" t="str">
        <f t="shared" si="83"/>
        <v/>
      </c>
      <c r="BR66" s="49" t="str">
        <f t="shared" si="83"/>
        <v/>
      </c>
      <c r="BS66" s="49" t="str">
        <f t="shared" si="83"/>
        <v/>
      </c>
      <c r="BT66" s="49" t="str">
        <f t="shared" si="83"/>
        <v/>
      </c>
      <c r="BU66" s="49" t="str">
        <f t="shared" si="83"/>
        <v/>
      </c>
      <c r="BV66" s="49" t="str">
        <f t="shared" si="83"/>
        <v/>
      </c>
      <c r="BW66" s="49" t="str">
        <f t="shared" si="83"/>
        <v/>
      </c>
      <c r="BX66" s="49" t="str">
        <f t="shared" si="83"/>
        <v/>
      </c>
      <c r="BY66" s="49" t="str">
        <f t="shared" si="83"/>
        <v/>
      </c>
      <c r="BZ66" s="49" t="str">
        <f t="shared" si="83"/>
        <v/>
      </c>
      <c r="CA66" s="49" t="str">
        <f t="shared" si="83"/>
        <v/>
      </c>
      <c r="CB66" s="49" t="str">
        <f t="shared" si="83"/>
        <v/>
      </c>
      <c r="CC66" s="49" t="str">
        <f t="shared" si="83"/>
        <v/>
      </c>
      <c r="CD66" s="49" t="str">
        <f t="shared" si="83"/>
        <v/>
      </c>
      <c r="CE66" s="49" t="str">
        <f t="shared" si="83"/>
        <v/>
      </c>
      <c r="CF66" s="49" t="str">
        <f t="shared" si="83"/>
        <v/>
      </c>
      <c r="CG66" s="49" t="str">
        <f t="shared" si="83"/>
        <v/>
      </c>
      <c r="CH66" s="49" t="str">
        <f t="shared" si="83"/>
        <v/>
      </c>
      <c r="CI66" s="49" t="str">
        <f t="shared" si="83"/>
        <v/>
      </c>
      <c r="CJ66" s="49" t="str">
        <f t="shared" si="83"/>
        <v/>
      </c>
      <c r="CK66" s="49" t="str">
        <f t="shared" si="83"/>
        <v/>
      </c>
      <c r="CL66" s="49" t="str">
        <f t="shared" si="83"/>
        <v/>
      </c>
      <c r="CM66" s="49" t="str">
        <f t="shared" si="83"/>
        <v/>
      </c>
      <c r="CN66" s="49" t="str">
        <f t="shared" si="83"/>
        <v/>
      </c>
      <c r="CO66" s="49" t="str">
        <f t="shared" si="83"/>
        <v/>
      </c>
      <c r="CP66" s="49" t="str">
        <f t="shared" si="83"/>
        <v/>
      </c>
      <c r="CQ66" s="49" t="str">
        <f t="shared" si="83"/>
        <v/>
      </c>
      <c r="CR66" s="49" t="str">
        <f t="shared" si="83"/>
        <v/>
      </c>
      <c r="CS66" s="49" t="str">
        <f t="shared" si="83"/>
        <v/>
      </c>
      <c r="CT66" s="49" t="str">
        <f t="shared" si="83"/>
        <v/>
      </c>
      <c r="CU66" s="49" t="str">
        <f t="shared" si="83"/>
        <v/>
      </c>
      <c r="CV66" s="49" t="str">
        <f t="shared" si="83"/>
        <v/>
      </c>
      <c r="CW66" s="49" t="str">
        <f t="shared" si="83"/>
        <v/>
      </c>
      <c r="CX66" s="49" t="str">
        <f t="shared" si="83"/>
        <v/>
      </c>
      <c r="CY66" s="49" t="str">
        <f t="shared" si="83"/>
        <v/>
      </c>
      <c r="CZ66" s="49" t="str">
        <f t="shared" si="83"/>
        <v/>
      </c>
      <c r="DA66" s="49" t="str">
        <f t="shared" si="83"/>
        <v/>
      </c>
      <c r="DB66" s="49" t="str">
        <f t="shared" si="83"/>
        <v/>
      </c>
      <c r="DC66" s="49" t="str">
        <f t="shared" si="83"/>
        <v/>
      </c>
      <c r="DD66" s="49" t="str">
        <f t="shared" si="83"/>
        <v/>
      </c>
      <c r="DE66" s="49" t="str">
        <f t="shared" si="83"/>
        <v/>
      </c>
      <c r="DF66" s="49" t="str">
        <f t="shared" si="83"/>
        <v/>
      </c>
      <c r="DG66" s="49" t="str">
        <f t="shared" si="83"/>
        <v/>
      </c>
      <c r="DH66" s="49" t="str">
        <f t="shared" si="83"/>
        <v/>
      </c>
      <c r="DI66" s="49" t="str">
        <f t="shared" si="83"/>
        <v/>
      </c>
      <c r="DJ66" s="49" t="str">
        <f t="shared" si="83"/>
        <v/>
      </c>
    </row>
    <row r="67" spans="1:114" ht="15.75" customHeight="1" x14ac:dyDescent="0.55000000000000004">
      <c r="A67" s="41" t="e">
        <f>MASANIELLO!#REF!</f>
        <v>#REF!</v>
      </c>
      <c r="B67" s="41" t="e">
        <f t="shared" si="2"/>
        <v>#VALUE!</v>
      </c>
      <c r="C67" s="42" t="e">
        <f t="shared" si="3"/>
        <v>#VALUE!</v>
      </c>
      <c r="D67" s="42" t="e">
        <f t="shared" si="4"/>
        <v>#VALUE!</v>
      </c>
      <c r="E67" s="42" t="e">
        <f t="shared" si="5"/>
        <v>#VALUE!</v>
      </c>
      <c r="F67" s="42" t="e">
        <f t="shared" si="6"/>
        <v>#VALUE!</v>
      </c>
      <c r="G67" s="50" t="e">
        <f t="shared" si="7"/>
        <v>#VALUE!</v>
      </c>
      <c r="H67" s="41" t="e">
        <f t="shared" si="8"/>
        <v>#VALUE!</v>
      </c>
      <c r="I67" s="41" t="e">
        <f t="shared" si="9"/>
        <v>#VALUE!</v>
      </c>
      <c r="J67" s="45" t="e">
        <f t="shared" si="10"/>
        <v>#VALUE!</v>
      </c>
      <c r="M67" s="48" t="b">
        <f t="shared" si="11"/>
        <v>0</v>
      </c>
      <c r="N67" s="49" t="e">
        <f t="shared" ref="N67:DJ67" si="84">IF(N$1&gt;$L$2,   "",   IF(N$1=$L$2,  1,  IF($L$2-N$1=$L$1-$M67, $L$3^($L$1-$M67), ($L$3*N68*O68/(N68+($L$3-1)*O68) ))))</f>
        <v>#DIV/0!</v>
      </c>
      <c r="O67" s="49" t="e">
        <f t="shared" si="84"/>
        <v>#DIV/0!</v>
      </c>
      <c r="P67" s="49" t="e">
        <f t="shared" si="84"/>
        <v>#DIV/0!</v>
      </c>
      <c r="Q67" s="49" t="e">
        <f t="shared" si="84"/>
        <v>#DIV/0!</v>
      </c>
      <c r="R67" s="49">
        <f t="shared" si="84"/>
        <v>1</v>
      </c>
      <c r="S67" s="49" t="str">
        <f t="shared" si="84"/>
        <v/>
      </c>
      <c r="T67" s="49" t="str">
        <f t="shared" si="84"/>
        <v/>
      </c>
      <c r="U67" s="49" t="str">
        <f t="shared" si="84"/>
        <v/>
      </c>
      <c r="V67" s="49" t="str">
        <f t="shared" si="84"/>
        <v/>
      </c>
      <c r="W67" s="49" t="str">
        <f t="shared" si="84"/>
        <v/>
      </c>
      <c r="X67" s="49" t="str">
        <f t="shared" si="84"/>
        <v/>
      </c>
      <c r="Y67" s="49" t="str">
        <f t="shared" si="84"/>
        <v/>
      </c>
      <c r="Z67" s="49" t="str">
        <f t="shared" si="84"/>
        <v/>
      </c>
      <c r="AA67" s="49" t="str">
        <f t="shared" si="84"/>
        <v/>
      </c>
      <c r="AB67" s="49" t="str">
        <f t="shared" si="84"/>
        <v/>
      </c>
      <c r="AC67" s="49" t="str">
        <f t="shared" si="84"/>
        <v/>
      </c>
      <c r="AD67" s="49" t="str">
        <f t="shared" si="84"/>
        <v/>
      </c>
      <c r="AE67" s="49" t="str">
        <f t="shared" si="84"/>
        <v/>
      </c>
      <c r="AF67" s="49" t="str">
        <f t="shared" si="84"/>
        <v/>
      </c>
      <c r="AG67" s="49" t="str">
        <f t="shared" si="84"/>
        <v/>
      </c>
      <c r="AH67" s="49" t="str">
        <f t="shared" si="84"/>
        <v/>
      </c>
      <c r="AI67" s="49" t="str">
        <f t="shared" si="84"/>
        <v/>
      </c>
      <c r="AJ67" s="49" t="str">
        <f t="shared" si="84"/>
        <v/>
      </c>
      <c r="AK67" s="49" t="str">
        <f t="shared" si="84"/>
        <v/>
      </c>
      <c r="AL67" s="49" t="str">
        <f t="shared" si="84"/>
        <v/>
      </c>
      <c r="AM67" s="49" t="str">
        <f t="shared" si="84"/>
        <v/>
      </c>
      <c r="AN67" s="49" t="str">
        <f t="shared" si="84"/>
        <v/>
      </c>
      <c r="AO67" s="49" t="str">
        <f t="shared" si="84"/>
        <v/>
      </c>
      <c r="AP67" s="49" t="str">
        <f t="shared" si="84"/>
        <v/>
      </c>
      <c r="AQ67" s="49" t="str">
        <f t="shared" si="84"/>
        <v/>
      </c>
      <c r="AR67" s="49" t="str">
        <f t="shared" si="84"/>
        <v/>
      </c>
      <c r="AS67" s="49" t="str">
        <f t="shared" si="84"/>
        <v/>
      </c>
      <c r="AT67" s="49" t="str">
        <f t="shared" si="84"/>
        <v/>
      </c>
      <c r="AU67" s="49" t="str">
        <f t="shared" si="84"/>
        <v/>
      </c>
      <c r="AV67" s="49" t="str">
        <f t="shared" si="84"/>
        <v/>
      </c>
      <c r="AW67" s="49" t="str">
        <f t="shared" si="84"/>
        <v/>
      </c>
      <c r="AX67" s="49" t="str">
        <f t="shared" si="84"/>
        <v/>
      </c>
      <c r="AY67" s="49" t="str">
        <f t="shared" si="84"/>
        <v/>
      </c>
      <c r="AZ67" s="49" t="str">
        <f t="shared" si="84"/>
        <v/>
      </c>
      <c r="BA67" s="49" t="str">
        <f t="shared" si="84"/>
        <v/>
      </c>
      <c r="BB67" s="49" t="str">
        <f t="shared" si="84"/>
        <v/>
      </c>
      <c r="BC67" s="49" t="str">
        <f t="shared" si="84"/>
        <v/>
      </c>
      <c r="BD67" s="49" t="str">
        <f t="shared" si="84"/>
        <v/>
      </c>
      <c r="BE67" s="49" t="str">
        <f t="shared" si="84"/>
        <v/>
      </c>
      <c r="BF67" s="49" t="str">
        <f t="shared" si="84"/>
        <v/>
      </c>
      <c r="BG67" s="49" t="str">
        <f t="shared" si="84"/>
        <v/>
      </c>
      <c r="BH67" s="49" t="str">
        <f t="shared" si="84"/>
        <v/>
      </c>
      <c r="BI67" s="49" t="str">
        <f t="shared" si="84"/>
        <v/>
      </c>
      <c r="BJ67" s="49" t="str">
        <f t="shared" si="84"/>
        <v/>
      </c>
      <c r="BK67" s="49" t="str">
        <f t="shared" si="84"/>
        <v/>
      </c>
      <c r="BL67" s="49" t="str">
        <f t="shared" si="84"/>
        <v/>
      </c>
      <c r="BM67" s="49" t="str">
        <f t="shared" si="84"/>
        <v/>
      </c>
      <c r="BN67" s="49" t="str">
        <f t="shared" si="84"/>
        <v/>
      </c>
      <c r="BO67" s="49" t="str">
        <f t="shared" si="84"/>
        <v/>
      </c>
      <c r="BP67" s="49" t="str">
        <f t="shared" si="84"/>
        <v/>
      </c>
      <c r="BQ67" s="49" t="str">
        <f t="shared" si="84"/>
        <v/>
      </c>
      <c r="BR67" s="49" t="str">
        <f t="shared" si="84"/>
        <v/>
      </c>
      <c r="BS67" s="49" t="str">
        <f t="shared" si="84"/>
        <v/>
      </c>
      <c r="BT67" s="49" t="str">
        <f t="shared" si="84"/>
        <v/>
      </c>
      <c r="BU67" s="49" t="str">
        <f t="shared" si="84"/>
        <v/>
      </c>
      <c r="BV67" s="49" t="str">
        <f t="shared" si="84"/>
        <v/>
      </c>
      <c r="BW67" s="49" t="str">
        <f t="shared" si="84"/>
        <v/>
      </c>
      <c r="BX67" s="49" t="str">
        <f t="shared" si="84"/>
        <v/>
      </c>
      <c r="BY67" s="49" t="str">
        <f t="shared" si="84"/>
        <v/>
      </c>
      <c r="BZ67" s="49" t="str">
        <f t="shared" si="84"/>
        <v/>
      </c>
      <c r="CA67" s="49" t="str">
        <f t="shared" si="84"/>
        <v/>
      </c>
      <c r="CB67" s="49" t="str">
        <f t="shared" si="84"/>
        <v/>
      </c>
      <c r="CC67" s="49" t="str">
        <f t="shared" si="84"/>
        <v/>
      </c>
      <c r="CD67" s="49" t="str">
        <f t="shared" si="84"/>
        <v/>
      </c>
      <c r="CE67" s="49" t="str">
        <f t="shared" si="84"/>
        <v/>
      </c>
      <c r="CF67" s="49" t="str">
        <f t="shared" si="84"/>
        <v/>
      </c>
      <c r="CG67" s="49" t="str">
        <f t="shared" si="84"/>
        <v/>
      </c>
      <c r="CH67" s="49" t="str">
        <f t="shared" si="84"/>
        <v/>
      </c>
      <c r="CI67" s="49" t="str">
        <f t="shared" si="84"/>
        <v/>
      </c>
      <c r="CJ67" s="49" t="str">
        <f t="shared" si="84"/>
        <v/>
      </c>
      <c r="CK67" s="49" t="str">
        <f t="shared" si="84"/>
        <v/>
      </c>
      <c r="CL67" s="49" t="str">
        <f t="shared" si="84"/>
        <v/>
      </c>
      <c r="CM67" s="49" t="str">
        <f t="shared" si="84"/>
        <v/>
      </c>
      <c r="CN67" s="49" t="str">
        <f t="shared" si="84"/>
        <v/>
      </c>
      <c r="CO67" s="49" t="str">
        <f t="shared" si="84"/>
        <v/>
      </c>
      <c r="CP67" s="49" t="str">
        <f t="shared" si="84"/>
        <v/>
      </c>
      <c r="CQ67" s="49" t="str">
        <f t="shared" si="84"/>
        <v/>
      </c>
      <c r="CR67" s="49" t="str">
        <f t="shared" si="84"/>
        <v/>
      </c>
      <c r="CS67" s="49" t="str">
        <f t="shared" si="84"/>
        <v/>
      </c>
      <c r="CT67" s="49" t="str">
        <f t="shared" si="84"/>
        <v/>
      </c>
      <c r="CU67" s="49" t="str">
        <f t="shared" si="84"/>
        <v/>
      </c>
      <c r="CV67" s="49" t="str">
        <f t="shared" si="84"/>
        <v/>
      </c>
      <c r="CW67" s="49" t="str">
        <f t="shared" si="84"/>
        <v/>
      </c>
      <c r="CX67" s="49" t="str">
        <f t="shared" si="84"/>
        <v/>
      </c>
      <c r="CY67" s="49" t="str">
        <f t="shared" si="84"/>
        <v/>
      </c>
      <c r="CZ67" s="49" t="str">
        <f t="shared" si="84"/>
        <v/>
      </c>
      <c r="DA67" s="49" t="str">
        <f t="shared" si="84"/>
        <v/>
      </c>
      <c r="DB67" s="49" t="str">
        <f t="shared" si="84"/>
        <v/>
      </c>
      <c r="DC67" s="49" t="str">
        <f t="shared" si="84"/>
        <v/>
      </c>
      <c r="DD67" s="49" t="str">
        <f t="shared" si="84"/>
        <v/>
      </c>
      <c r="DE67" s="49" t="str">
        <f t="shared" si="84"/>
        <v/>
      </c>
      <c r="DF67" s="49" t="str">
        <f t="shared" si="84"/>
        <v/>
      </c>
      <c r="DG67" s="49" t="str">
        <f t="shared" si="84"/>
        <v/>
      </c>
      <c r="DH67" s="49" t="str">
        <f t="shared" si="84"/>
        <v/>
      </c>
      <c r="DI67" s="49" t="str">
        <f t="shared" si="84"/>
        <v/>
      </c>
      <c r="DJ67" s="49" t="str">
        <f t="shared" si="84"/>
        <v/>
      </c>
    </row>
    <row r="68" spans="1:114" ht="15.75" customHeight="1" x14ac:dyDescent="0.55000000000000004">
      <c r="A68" s="41" t="e">
        <f>MASANIELLO!#REF!</f>
        <v>#REF!</v>
      </c>
      <c r="B68" s="41" t="e">
        <f t="shared" si="2"/>
        <v>#VALUE!</v>
      </c>
      <c r="C68" s="42" t="e">
        <f t="shared" si="3"/>
        <v>#VALUE!</v>
      </c>
      <c r="D68" s="42" t="e">
        <f t="shared" si="4"/>
        <v>#VALUE!</v>
      </c>
      <c r="E68" s="42" t="e">
        <f t="shared" si="5"/>
        <v>#VALUE!</v>
      </c>
      <c r="F68" s="42" t="e">
        <f t="shared" si="6"/>
        <v>#VALUE!</v>
      </c>
      <c r="G68" s="50" t="e">
        <f t="shared" si="7"/>
        <v>#VALUE!</v>
      </c>
      <c r="H68" s="41" t="e">
        <f t="shared" si="8"/>
        <v>#VALUE!</v>
      </c>
      <c r="I68" s="41" t="e">
        <f t="shared" si="9"/>
        <v>#VALUE!</v>
      </c>
      <c r="J68" s="45" t="e">
        <f t="shared" si="10"/>
        <v>#VALUE!</v>
      </c>
      <c r="M68" s="48" t="b">
        <f t="shared" si="11"/>
        <v>0</v>
      </c>
      <c r="N68" s="49" t="e">
        <f t="shared" ref="N68:DJ68" si="85">IF(N$1&gt;$L$2,   "",   IF(N$1=$L$2,  1,  IF($L$2-N$1=$L$1-$M68, $L$3^($L$1-$M68), ($L$3*N69*O69/(N69+($L$3-1)*O69) ))))</f>
        <v>#DIV/0!</v>
      </c>
      <c r="O68" s="49" t="e">
        <f t="shared" si="85"/>
        <v>#DIV/0!</v>
      </c>
      <c r="P68" s="49" t="e">
        <f t="shared" si="85"/>
        <v>#DIV/0!</v>
      </c>
      <c r="Q68" s="49" t="e">
        <f t="shared" si="85"/>
        <v>#DIV/0!</v>
      </c>
      <c r="R68" s="49">
        <f t="shared" si="85"/>
        <v>1</v>
      </c>
      <c r="S68" s="49" t="str">
        <f t="shared" si="85"/>
        <v/>
      </c>
      <c r="T68" s="49" t="str">
        <f t="shared" si="85"/>
        <v/>
      </c>
      <c r="U68" s="49" t="str">
        <f t="shared" si="85"/>
        <v/>
      </c>
      <c r="V68" s="49" t="str">
        <f t="shared" si="85"/>
        <v/>
      </c>
      <c r="W68" s="49" t="str">
        <f t="shared" si="85"/>
        <v/>
      </c>
      <c r="X68" s="49" t="str">
        <f t="shared" si="85"/>
        <v/>
      </c>
      <c r="Y68" s="49" t="str">
        <f t="shared" si="85"/>
        <v/>
      </c>
      <c r="Z68" s="49" t="str">
        <f t="shared" si="85"/>
        <v/>
      </c>
      <c r="AA68" s="49" t="str">
        <f t="shared" si="85"/>
        <v/>
      </c>
      <c r="AB68" s="49" t="str">
        <f t="shared" si="85"/>
        <v/>
      </c>
      <c r="AC68" s="49" t="str">
        <f t="shared" si="85"/>
        <v/>
      </c>
      <c r="AD68" s="49" t="str">
        <f t="shared" si="85"/>
        <v/>
      </c>
      <c r="AE68" s="49" t="str">
        <f t="shared" si="85"/>
        <v/>
      </c>
      <c r="AF68" s="49" t="str">
        <f t="shared" si="85"/>
        <v/>
      </c>
      <c r="AG68" s="49" t="str">
        <f t="shared" si="85"/>
        <v/>
      </c>
      <c r="AH68" s="49" t="str">
        <f t="shared" si="85"/>
        <v/>
      </c>
      <c r="AI68" s="49" t="str">
        <f t="shared" si="85"/>
        <v/>
      </c>
      <c r="AJ68" s="49" t="str">
        <f t="shared" si="85"/>
        <v/>
      </c>
      <c r="AK68" s="49" t="str">
        <f t="shared" si="85"/>
        <v/>
      </c>
      <c r="AL68" s="49" t="str">
        <f t="shared" si="85"/>
        <v/>
      </c>
      <c r="AM68" s="49" t="str">
        <f t="shared" si="85"/>
        <v/>
      </c>
      <c r="AN68" s="49" t="str">
        <f t="shared" si="85"/>
        <v/>
      </c>
      <c r="AO68" s="49" t="str">
        <f t="shared" si="85"/>
        <v/>
      </c>
      <c r="AP68" s="49" t="str">
        <f t="shared" si="85"/>
        <v/>
      </c>
      <c r="AQ68" s="49" t="str">
        <f t="shared" si="85"/>
        <v/>
      </c>
      <c r="AR68" s="49" t="str">
        <f t="shared" si="85"/>
        <v/>
      </c>
      <c r="AS68" s="49" t="str">
        <f t="shared" si="85"/>
        <v/>
      </c>
      <c r="AT68" s="49" t="str">
        <f t="shared" si="85"/>
        <v/>
      </c>
      <c r="AU68" s="49" t="str">
        <f t="shared" si="85"/>
        <v/>
      </c>
      <c r="AV68" s="49" t="str">
        <f t="shared" si="85"/>
        <v/>
      </c>
      <c r="AW68" s="49" t="str">
        <f t="shared" si="85"/>
        <v/>
      </c>
      <c r="AX68" s="49" t="str">
        <f t="shared" si="85"/>
        <v/>
      </c>
      <c r="AY68" s="49" t="str">
        <f t="shared" si="85"/>
        <v/>
      </c>
      <c r="AZ68" s="49" t="str">
        <f t="shared" si="85"/>
        <v/>
      </c>
      <c r="BA68" s="49" t="str">
        <f t="shared" si="85"/>
        <v/>
      </c>
      <c r="BB68" s="49" t="str">
        <f t="shared" si="85"/>
        <v/>
      </c>
      <c r="BC68" s="49" t="str">
        <f t="shared" si="85"/>
        <v/>
      </c>
      <c r="BD68" s="49" t="str">
        <f t="shared" si="85"/>
        <v/>
      </c>
      <c r="BE68" s="49" t="str">
        <f t="shared" si="85"/>
        <v/>
      </c>
      <c r="BF68" s="49" t="str">
        <f t="shared" si="85"/>
        <v/>
      </c>
      <c r="BG68" s="49" t="str">
        <f t="shared" si="85"/>
        <v/>
      </c>
      <c r="BH68" s="49" t="str">
        <f t="shared" si="85"/>
        <v/>
      </c>
      <c r="BI68" s="49" t="str">
        <f t="shared" si="85"/>
        <v/>
      </c>
      <c r="BJ68" s="49" t="str">
        <f t="shared" si="85"/>
        <v/>
      </c>
      <c r="BK68" s="49" t="str">
        <f t="shared" si="85"/>
        <v/>
      </c>
      <c r="BL68" s="49" t="str">
        <f t="shared" si="85"/>
        <v/>
      </c>
      <c r="BM68" s="49" t="str">
        <f t="shared" si="85"/>
        <v/>
      </c>
      <c r="BN68" s="49" t="str">
        <f t="shared" si="85"/>
        <v/>
      </c>
      <c r="BO68" s="49" t="str">
        <f t="shared" si="85"/>
        <v/>
      </c>
      <c r="BP68" s="49" t="str">
        <f t="shared" si="85"/>
        <v/>
      </c>
      <c r="BQ68" s="49" t="str">
        <f t="shared" si="85"/>
        <v/>
      </c>
      <c r="BR68" s="49" t="str">
        <f t="shared" si="85"/>
        <v/>
      </c>
      <c r="BS68" s="49" t="str">
        <f t="shared" si="85"/>
        <v/>
      </c>
      <c r="BT68" s="49" t="str">
        <f t="shared" si="85"/>
        <v/>
      </c>
      <c r="BU68" s="49" t="str">
        <f t="shared" si="85"/>
        <v/>
      </c>
      <c r="BV68" s="49" t="str">
        <f t="shared" si="85"/>
        <v/>
      </c>
      <c r="BW68" s="49" t="str">
        <f t="shared" si="85"/>
        <v/>
      </c>
      <c r="BX68" s="49" t="str">
        <f t="shared" si="85"/>
        <v/>
      </c>
      <c r="BY68" s="49" t="str">
        <f t="shared" si="85"/>
        <v/>
      </c>
      <c r="BZ68" s="49" t="str">
        <f t="shared" si="85"/>
        <v/>
      </c>
      <c r="CA68" s="49" t="str">
        <f t="shared" si="85"/>
        <v/>
      </c>
      <c r="CB68" s="49" t="str">
        <f t="shared" si="85"/>
        <v/>
      </c>
      <c r="CC68" s="49" t="str">
        <f t="shared" si="85"/>
        <v/>
      </c>
      <c r="CD68" s="49" t="str">
        <f t="shared" si="85"/>
        <v/>
      </c>
      <c r="CE68" s="49" t="str">
        <f t="shared" si="85"/>
        <v/>
      </c>
      <c r="CF68" s="49" t="str">
        <f t="shared" si="85"/>
        <v/>
      </c>
      <c r="CG68" s="49" t="str">
        <f t="shared" si="85"/>
        <v/>
      </c>
      <c r="CH68" s="49" t="str">
        <f t="shared" si="85"/>
        <v/>
      </c>
      <c r="CI68" s="49" t="str">
        <f t="shared" si="85"/>
        <v/>
      </c>
      <c r="CJ68" s="49" t="str">
        <f t="shared" si="85"/>
        <v/>
      </c>
      <c r="CK68" s="49" t="str">
        <f t="shared" si="85"/>
        <v/>
      </c>
      <c r="CL68" s="49" t="str">
        <f t="shared" si="85"/>
        <v/>
      </c>
      <c r="CM68" s="49" t="str">
        <f t="shared" si="85"/>
        <v/>
      </c>
      <c r="CN68" s="49" t="str">
        <f t="shared" si="85"/>
        <v/>
      </c>
      <c r="CO68" s="49" t="str">
        <f t="shared" si="85"/>
        <v/>
      </c>
      <c r="CP68" s="49" t="str">
        <f t="shared" si="85"/>
        <v/>
      </c>
      <c r="CQ68" s="49" t="str">
        <f t="shared" si="85"/>
        <v/>
      </c>
      <c r="CR68" s="49" t="str">
        <f t="shared" si="85"/>
        <v/>
      </c>
      <c r="CS68" s="49" t="str">
        <f t="shared" si="85"/>
        <v/>
      </c>
      <c r="CT68" s="49" t="str">
        <f t="shared" si="85"/>
        <v/>
      </c>
      <c r="CU68" s="49" t="str">
        <f t="shared" si="85"/>
        <v/>
      </c>
      <c r="CV68" s="49" t="str">
        <f t="shared" si="85"/>
        <v/>
      </c>
      <c r="CW68" s="49" t="str">
        <f t="shared" si="85"/>
        <v/>
      </c>
      <c r="CX68" s="49" t="str">
        <f t="shared" si="85"/>
        <v/>
      </c>
      <c r="CY68" s="49" t="str">
        <f t="shared" si="85"/>
        <v/>
      </c>
      <c r="CZ68" s="49" t="str">
        <f t="shared" si="85"/>
        <v/>
      </c>
      <c r="DA68" s="49" t="str">
        <f t="shared" si="85"/>
        <v/>
      </c>
      <c r="DB68" s="49" t="str">
        <f t="shared" si="85"/>
        <v/>
      </c>
      <c r="DC68" s="49" t="str">
        <f t="shared" si="85"/>
        <v/>
      </c>
      <c r="DD68" s="49" t="str">
        <f t="shared" si="85"/>
        <v/>
      </c>
      <c r="DE68" s="49" t="str">
        <f t="shared" si="85"/>
        <v/>
      </c>
      <c r="DF68" s="49" t="str">
        <f t="shared" si="85"/>
        <v/>
      </c>
      <c r="DG68" s="49" t="str">
        <f t="shared" si="85"/>
        <v/>
      </c>
      <c r="DH68" s="49" t="str">
        <f t="shared" si="85"/>
        <v/>
      </c>
      <c r="DI68" s="49" t="str">
        <f t="shared" si="85"/>
        <v/>
      </c>
      <c r="DJ68" s="49" t="str">
        <f t="shared" si="85"/>
        <v/>
      </c>
    </row>
    <row r="69" spans="1:114" ht="15.75" customHeight="1" x14ac:dyDescent="0.55000000000000004">
      <c r="A69" s="41" t="e">
        <f>MASANIELLO!#REF!</f>
        <v>#REF!</v>
      </c>
      <c r="B69" s="41" t="e">
        <f t="shared" si="2"/>
        <v>#VALUE!</v>
      </c>
      <c r="C69" s="42" t="e">
        <f t="shared" si="3"/>
        <v>#VALUE!</v>
      </c>
      <c r="D69" s="42" t="e">
        <f t="shared" si="4"/>
        <v>#VALUE!</v>
      </c>
      <c r="E69" s="42" t="e">
        <f t="shared" si="5"/>
        <v>#VALUE!</v>
      </c>
      <c r="F69" s="42" t="e">
        <f t="shared" si="6"/>
        <v>#VALUE!</v>
      </c>
      <c r="G69" s="50" t="e">
        <f t="shared" si="7"/>
        <v>#VALUE!</v>
      </c>
      <c r="H69" s="41" t="e">
        <f t="shared" si="8"/>
        <v>#VALUE!</v>
      </c>
      <c r="I69" s="41" t="e">
        <f t="shared" si="9"/>
        <v>#VALUE!</v>
      </c>
      <c r="J69" s="45" t="e">
        <f t="shared" si="10"/>
        <v>#VALUE!</v>
      </c>
      <c r="M69" s="48" t="b">
        <f t="shared" si="11"/>
        <v>0</v>
      </c>
      <c r="N69" s="49" t="e">
        <f t="shared" ref="N69:DJ69" si="86">IF(N$1&gt;$L$2,   "",   IF(N$1=$L$2,  1,  IF($L$2-N$1=$L$1-$M69, $L$3^($L$1-$M69), ($L$3*N70*O70/(N70+($L$3-1)*O70) ))))</f>
        <v>#DIV/0!</v>
      </c>
      <c r="O69" s="49" t="e">
        <f t="shared" si="86"/>
        <v>#DIV/0!</v>
      </c>
      <c r="P69" s="49" t="e">
        <f t="shared" si="86"/>
        <v>#DIV/0!</v>
      </c>
      <c r="Q69" s="49" t="e">
        <f t="shared" si="86"/>
        <v>#DIV/0!</v>
      </c>
      <c r="R69" s="49">
        <f t="shared" si="86"/>
        <v>1</v>
      </c>
      <c r="S69" s="49" t="str">
        <f t="shared" si="86"/>
        <v/>
      </c>
      <c r="T69" s="49" t="str">
        <f t="shared" si="86"/>
        <v/>
      </c>
      <c r="U69" s="49" t="str">
        <f t="shared" si="86"/>
        <v/>
      </c>
      <c r="V69" s="49" t="str">
        <f t="shared" si="86"/>
        <v/>
      </c>
      <c r="W69" s="49" t="str">
        <f t="shared" si="86"/>
        <v/>
      </c>
      <c r="X69" s="49" t="str">
        <f t="shared" si="86"/>
        <v/>
      </c>
      <c r="Y69" s="49" t="str">
        <f t="shared" si="86"/>
        <v/>
      </c>
      <c r="Z69" s="49" t="str">
        <f t="shared" si="86"/>
        <v/>
      </c>
      <c r="AA69" s="49" t="str">
        <f t="shared" si="86"/>
        <v/>
      </c>
      <c r="AB69" s="49" t="str">
        <f t="shared" si="86"/>
        <v/>
      </c>
      <c r="AC69" s="49" t="str">
        <f t="shared" si="86"/>
        <v/>
      </c>
      <c r="AD69" s="49" t="str">
        <f t="shared" si="86"/>
        <v/>
      </c>
      <c r="AE69" s="49" t="str">
        <f t="shared" si="86"/>
        <v/>
      </c>
      <c r="AF69" s="49" t="str">
        <f t="shared" si="86"/>
        <v/>
      </c>
      <c r="AG69" s="49" t="str">
        <f t="shared" si="86"/>
        <v/>
      </c>
      <c r="AH69" s="49" t="str">
        <f t="shared" si="86"/>
        <v/>
      </c>
      <c r="AI69" s="49" t="str">
        <f t="shared" si="86"/>
        <v/>
      </c>
      <c r="AJ69" s="49" t="str">
        <f t="shared" si="86"/>
        <v/>
      </c>
      <c r="AK69" s="49" t="str">
        <f t="shared" si="86"/>
        <v/>
      </c>
      <c r="AL69" s="49" t="str">
        <f t="shared" si="86"/>
        <v/>
      </c>
      <c r="AM69" s="49" t="str">
        <f t="shared" si="86"/>
        <v/>
      </c>
      <c r="AN69" s="49" t="str">
        <f t="shared" si="86"/>
        <v/>
      </c>
      <c r="AO69" s="49" t="str">
        <f t="shared" si="86"/>
        <v/>
      </c>
      <c r="AP69" s="49" t="str">
        <f t="shared" si="86"/>
        <v/>
      </c>
      <c r="AQ69" s="49" t="str">
        <f t="shared" si="86"/>
        <v/>
      </c>
      <c r="AR69" s="49" t="str">
        <f t="shared" si="86"/>
        <v/>
      </c>
      <c r="AS69" s="49" t="str">
        <f t="shared" si="86"/>
        <v/>
      </c>
      <c r="AT69" s="49" t="str">
        <f t="shared" si="86"/>
        <v/>
      </c>
      <c r="AU69" s="49" t="str">
        <f t="shared" si="86"/>
        <v/>
      </c>
      <c r="AV69" s="49" t="str">
        <f t="shared" si="86"/>
        <v/>
      </c>
      <c r="AW69" s="49" t="str">
        <f t="shared" si="86"/>
        <v/>
      </c>
      <c r="AX69" s="49" t="str">
        <f t="shared" si="86"/>
        <v/>
      </c>
      <c r="AY69" s="49" t="str">
        <f t="shared" si="86"/>
        <v/>
      </c>
      <c r="AZ69" s="49" t="str">
        <f t="shared" si="86"/>
        <v/>
      </c>
      <c r="BA69" s="49" t="str">
        <f t="shared" si="86"/>
        <v/>
      </c>
      <c r="BB69" s="49" t="str">
        <f t="shared" si="86"/>
        <v/>
      </c>
      <c r="BC69" s="49" t="str">
        <f t="shared" si="86"/>
        <v/>
      </c>
      <c r="BD69" s="49" t="str">
        <f t="shared" si="86"/>
        <v/>
      </c>
      <c r="BE69" s="49" t="str">
        <f t="shared" si="86"/>
        <v/>
      </c>
      <c r="BF69" s="49" t="str">
        <f t="shared" si="86"/>
        <v/>
      </c>
      <c r="BG69" s="49" t="str">
        <f t="shared" si="86"/>
        <v/>
      </c>
      <c r="BH69" s="49" t="str">
        <f t="shared" si="86"/>
        <v/>
      </c>
      <c r="BI69" s="49" t="str">
        <f t="shared" si="86"/>
        <v/>
      </c>
      <c r="BJ69" s="49" t="str">
        <f t="shared" si="86"/>
        <v/>
      </c>
      <c r="BK69" s="49" t="str">
        <f t="shared" si="86"/>
        <v/>
      </c>
      <c r="BL69" s="49" t="str">
        <f t="shared" si="86"/>
        <v/>
      </c>
      <c r="BM69" s="49" t="str">
        <f t="shared" si="86"/>
        <v/>
      </c>
      <c r="BN69" s="49" t="str">
        <f t="shared" si="86"/>
        <v/>
      </c>
      <c r="BO69" s="49" t="str">
        <f t="shared" si="86"/>
        <v/>
      </c>
      <c r="BP69" s="49" t="str">
        <f t="shared" si="86"/>
        <v/>
      </c>
      <c r="BQ69" s="49" t="str">
        <f t="shared" si="86"/>
        <v/>
      </c>
      <c r="BR69" s="49" t="str">
        <f t="shared" si="86"/>
        <v/>
      </c>
      <c r="BS69" s="49" t="str">
        <f t="shared" si="86"/>
        <v/>
      </c>
      <c r="BT69" s="49" t="str">
        <f t="shared" si="86"/>
        <v/>
      </c>
      <c r="BU69" s="49" t="str">
        <f t="shared" si="86"/>
        <v/>
      </c>
      <c r="BV69" s="49" t="str">
        <f t="shared" si="86"/>
        <v/>
      </c>
      <c r="BW69" s="49" t="str">
        <f t="shared" si="86"/>
        <v/>
      </c>
      <c r="BX69" s="49" t="str">
        <f t="shared" si="86"/>
        <v/>
      </c>
      <c r="BY69" s="49" t="str">
        <f t="shared" si="86"/>
        <v/>
      </c>
      <c r="BZ69" s="49" t="str">
        <f t="shared" si="86"/>
        <v/>
      </c>
      <c r="CA69" s="49" t="str">
        <f t="shared" si="86"/>
        <v/>
      </c>
      <c r="CB69" s="49" t="str">
        <f t="shared" si="86"/>
        <v/>
      </c>
      <c r="CC69" s="49" t="str">
        <f t="shared" si="86"/>
        <v/>
      </c>
      <c r="CD69" s="49" t="str">
        <f t="shared" si="86"/>
        <v/>
      </c>
      <c r="CE69" s="49" t="str">
        <f t="shared" si="86"/>
        <v/>
      </c>
      <c r="CF69" s="49" t="str">
        <f t="shared" si="86"/>
        <v/>
      </c>
      <c r="CG69" s="49" t="str">
        <f t="shared" si="86"/>
        <v/>
      </c>
      <c r="CH69" s="49" t="str">
        <f t="shared" si="86"/>
        <v/>
      </c>
      <c r="CI69" s="49" t="str">
        <f t="shared" si="86"/>
        <v/>
      </c>
      <c r="CJ69" s="49" t="str">
        <f t="shared" si="86"/>
        <v/>
      </c>
      <c r="CK69" s="49" t="str">
        <f t="shared" si="86"/>
        <v/>
      </c>
      <c r="CL69" s="49" t="str">
        <f t="shared" si="86"/>
        <v/>
      </c>
      <c r="CM69" s="49" t="str">
        <f t="shared" si="86"/>
        <v/>
      </c>
      <c r="CN69" s="49" t="str">
        <f t="shared" si="86"/>
        <v/>
      </c>
      <c r="CO69" s="49" t="str">
        <f t="shared" si="86"/>
        <v/>
      </c>
      <c r="CP69" s="49" t="str">
        <f t="shared" si="86"/>
        <v/>
      </c>
      <c r="CQ69" s="49" t="str">
        <f t="shared" si="86"/>
        <v/>
      </c>
      <c r="CR69" s="49" t="str">
        <f t="shared" si="86"/>
        <v/>
      </c>
      <c r="CS69" s="49" t="str">
        <f t="shared" si="86"/>
        <v/>
      </c>
      <c r="CT69" s="49" t="str">
        <f t="shared" si="86"/>
        <v/>
      </c>
      <c r="CU69" s="49" t="str">
        <f t="shared" si="86"/>
        <v/>
      </c>
      <c r="CV69" s="49" t="str">
        <f t="shared" si="86"/>
        <v/>
      </c>
      <c r="CW69" s="49" t="str">
        <f t="shared" si="86"/>
        <v/>
      </c>
      <c r="CX69" s="49" t="str">
        <f t="shared" si="86"/>
        <v/>
      </c>
      <c r="CY69" s="49" t="str">
        <f t="shared" si="86"/>
        <v/>
      </c>
      <c r="CZ69" s="49" t="str">
        <f t="shared" si="86"/>
        <v/>
      </c>
      <c r="DA69" s="49" t="str">
        <f t="shared" si="86"/>
        <v/>
      </c>
      <c r="DB69" s="49" t="str">
        <f t="shared" si="86"/>
        <v/>
      </c>
      <c r="DC69" s="49" t="str">
        <f t="shared" si="86"/>
        <v/>
      </c>
      <c r="DD69" s="49" t="str">
        <f t="shared" si="86"/>
        <v/>
      </c>
      <c r="DE69" s="49" t="str">
        <f t="shared" si="86"/>
        <v/>
      </c>
      <c r="DF69" s="49" t="str">
        <f t="shared" si="86"/>
        <v/>
      </c>
      <c r="DG69" s="49" t="str">
        <f t="shared" si="86"/>
        <v/>
      </c>
      <c r="DH69" s="49" t="str">
        <f t="shared" si="86"/>
        <v/>
      </c>
      <c r="DI69" s="49" t="str">
        <f t="shared" si="86"/>
        <v/>
      </c>
      <c r="DJ69" s="49" t="str">
        <f t="shared" si="86"/>
        <v/>
      </c>
    </row>
    <row r="70" spans="1:114" ht="15.75" customHeight="1" x14ac:dyDescent="0.55000000000000004">
      <c r="A70" s="41" t="e">
        <f>MASANIELLO!#REF!</f>
        <v>#REF!</v>
      </c>
      <c r="B70" s="41" t="e">
        <f t="shared" si="2"/>
        <v>#VALUE!</v>
      </c>
      <c r="C70" s="42" t="e">
        <f t="shared" si="3"/>
        <v>#VALUE!</v>
      </c>
      <c r="D70" s="42" t="e">
        <f t="shared" si="4"/>
        <v>#VALUE!</v>
      </c>
      <c r="E70" s="42" t="e">
        <f t="shared" si="5"/>
        <v>#VALUE!</v>
      </c>
      <c r="F70" s="42" t="e">
        <f t="shared" si="6"/>
        <v>#VALUE!</v>
      </c>
      <c r="G70" s="50" t="e">
        <f t="shared" si="7"/>
        <v>#VALUE!</v>
      </c>
      <c r="H70" s="41" t="e">
        <f t="shared" si="8"/>
        <v>#VALUE!</v>
      </c>
      <c r="I70" s="41" t="e">
        <f t="shared" si="9"/>
        <v>#VALUE!</v>
      </c>
      <c r="J70" s="45" t="e">
        <f t="shared" si="10"/>
        <v>#VALUE!</v>
      </c>
      <c r="M70" s="48" t="b">
        <f t="shared" si="11"/>
        <v>0</v>
      </c>
      <c r="N70" s="49" t="e">
        <f t="shared" ref="N70:DJ70" si="87">IF(N$1&gt;$L$2,   "",   IF(N$1=$L$2,  1,  IF($L$2-N$1=$L$1-$M70, $L$3^($L$1-$M70), ($L$3*N71*O71/(N71+($L$3-1)*O71) ))))</f>
        <v>#DIV/0!</v>
      </c>
      <c r="O70" s="49" t="e">
        <f t="shared" si="87"/>
        <v>#DIV/0!</v>
      </c>
      <c r="P70" s="49" t="e">
        <f t="shared" si="87"/>
        <v>#DIV/0!</v>
      </c>
      <c r="Q70" s="49" t="e">
        <f t="shared" si="87"/>
        <v>#DIV/0!</v>
      </c>
      <c r="R70" s="49">
        <f t="shared" si="87"/>
        <v>1</v>
      </c>
      <c r="S70" s="49" t="str">
        <f t="shared" si="87"/>
        <v/>
      </c>
      <c r="T70" s="49" t="str">
        <f t="shared" si="87"/>
        <v/>
      </c>
      <c r="U70" s="49" t="str">
        <f t="shared" si="87"/>
        <v/>
      </c>
      <c r="V70" s="49" t="str">
        <f t="shared" si="87"/>
        <v/>
      </c>
      <c r="W70" s="49" t="str">
        <f t="shared" si="87"/>
        <v/>
      </c>
      <c r="X70" s="49" t="str">
        <f t="shared" si="87"/>
        <v/>
      </c>
      <c r="Y70" s="49" t="str">
        <f t="shared" si="87"/>
        <v/>
      </c>
      <c r="Z70" s="49" t="str">
        <f t="shared" si="87"/>
        <v/>
      </c>
      <c r="AA70" s="49" t="str">
        <f t="shared" si="87"/>
        <v/>
      </c>
      <c r="AB70" s="49" t="str">
        <f t="shared" si="87"/>
        <v/>
      </c>
      <c r="AC70" s="49" t="str">
        <f t="shared" si="87"/>
        <v/>
      </c>
      <c r="AD70" s="49" t="str">
        <f t="shared" si="87"/>
        <v/>
      </c>
      <c r="AE70" s="49" t="str">
        <f t="shared" si="87"/>
        <v/>
      </c>
      <c r="AF70" s="49" t="str">
        <f t="shared" si="87"/>
        <v/>
      </c>
      <c r="AG70" s="49" t="str">
        <f t="shared" si="87"/>
        <v/>
      </c>
      <c r="AH70" s="49" t="str">
        <f t="shared" si="87"/>
        <v/>
      </c>
      <c r="AI70" s="49" t="str">
        <f t="shared" si="87"/>
        <v/>
      </c>
      <c r="AJ70" s="49" t="str">
        <f t="shared" si="87"/>
        <v/>
      </c>
      <c r="AK70" s="49" t="str">
        <f t="shared" si="87"/>
        <v/>
      </c>
      <c r="AL70" s="49" t="str">
        <f t="shared" si="87"/>
        <v/>
      </c>
      <c r="AM70" s="49" t="str">
        <f t="shared" si="87"/>
        <v/>
      </c>
      <c r="AN70" s="49" t="str">
        <f t="shared" si="87"/>
        <v/>
      </c>
      <c r="AO70" s="49" t="str">
        <f t="shared" si="87"/>
        <v/>
      </c>
      <c r="AP70" s="49" t="str">
        <f t="shared" si="87"/>
        <v/>
      </c>
      <c r="AQ70" s="49" t="str">
        <f t="shared" si="87"/>
        <v/>
      </c>
      <c r="AR70" s="49" t="str">
        <f t="shared" si="87"/>
        <v/>
      </c>
      <c r="AS70" s="49" t="str">
        <f t="shared" si="87"/>
        <v/>
      </c>
      <c r="AT70" s="49" t="str">
        <f t="shared" si="87"/>
        <v/>
      </c>
      <c r="AU70" s="49" t="str">
        <f t="shared" si="87"/>
        <v/>
      </c>
      <c r="AV70" s="49" t="str">
        <f t="shared" si="87"/>
        <v/>
      </c>
      <c r="AW70" s="49" t="str">
        <f t="shared" si="87"/>
        <v/>
      </c>
      <c r="AX70" s="49" t="str">
        <f t="shared" si="87"/>
        <v/>
      </c>
      <c r="AY70" s="49" t="str">
        <f t="shared" si="87"/>
        <v/>
      </c>
      <c r="AZ70" s="49" t="str">
        <f t="shared" si="87"/>
        <v/>
      </c>
      <c r="BA70" s="49" t="str">
        <f t="shared" si="87"/>
        <v/>
      </c>
      <c r="BB70" s="49" t="str">
        <f t="shared" si="87"/>
        <v/>
      </c>
      <c r="BC70" s="49" t="str">
        <f t="shared" si="87"/>
        <v/>
      </c>
      <c r="BD70" s="49" t="str">
        <f t="shared" si="87"/>
        <v/>
      </c>
      <c r="BE70" s="49" t="str">
        <f t="shared" si="87"/>
        <v/>
      </c>
      <c r="BF70" s="49" t="str">
        <f t="shared" si="87"/>
        <v/>
      </c>
      <c r="BG70" s="49" t="str">
        <f t="shared" si="87"/>
        <v/>
      </c>
      <c r="BH70" s="49" t="str">
        <f t="shared" si="87"/>
        <v/>
      </c>
      <c r="BI70" s="49" t="str">
        <f t="shared" si="87"/>
        <v/>
      </c>
      <c r="BJ70" s="49" t="str">
        <f t="shared" si="87"/>
        <v/>
      </c>
      <c r="BK70" s="49" t="str">
        <f t="shared" si="87"/>
        <v/>
      </c>
      <c r="BL70" s="49" t="str">
        <f t="shared" si="87"/>
        <v/>
      </c>
      <c r="BM70" s="49" t="str">
        <f t="shared" si="87"/>
        <v/>
      </c>
      <c r="BN70" s="49" t="str">
        <f t="shared" si="87"/>
        <v/>
      </c>
      <c r="BO70" s="49" t="str">
        <f t="shared" si="87"/>
        <v/>
      </c>
      <c r="BP70" s="49" t="str">
        <f t="shared" si="87"/>
        <v/>
      </c>
      <c r="BQ70" s="49" t="str">
        <f t="shared" si="87"/>
        <v/>
      </c>
      <c r="BR70" s="49" t="str">
        <f t="shared" si="87"/>
        <v/>
      </c>
      <c r="BS70" s="49" t="str">
        <f t="shared" si="87"/>
        <v/>
      </c>
      <c r="BT70" s="49" t="str">
        <f t="shared" si="87"/>
        <v/>
      </c>
      <c r="BU70" s="49" t="str">
        <f t="shared" si="87"/>
        <v/>
      </c>
      <c r="BV70" s="49" t="str">
        <f t="shared" si="87"/>
        <v/>
      </c>
      <c r="BW70" s="49" t="str">
        <f t="shared" si="87"/>
        <v/>
      </c>
      <c r="BX70" s="49" t="str">
        <f t="shared" si="87"/>
        <v/>
      </c>
      <c r="BY70" s="49" t="str">
        <f t="shared" si="87"/>
        <v/>
      </c>
      <c r="BZ70" s="49" t="str">
        <f t="shared" si="87"/>
        <v/>
      </c>
      <c r="CA70" s="49" t="str">
        <f t="shared" si="87"/>
        <v/>
      </c>
      <c r="CB70" s="49" t="str">
        <f t="shared" si="87"/>
        <v/>
      </c>
      <c r="CC70" s="49" t="str">
        <f t="shared" si="87"/>
        <v/>
      </c>
      <c r="CD70" s="49" t="str">
        <f t="shared" si="87"/>
        <v/>
      </c>
      <c r="CE70" s="49" t="str">
        <f t="shared" si="87"/>
        <v/>
      </c>
      <c r="CF70" s="49" t="str">
        <f t="shared" si="87"/>
        <v/>
      </c>
      <c r="CG70" s="49" t="str">
        <f t="shared" si="87"/>
        <v/>
      </c>
      <c r="CH70" s="49" t="str">
        <f t="shared" si="87"/>
        <v/>
      </c>
      <c r="CI70" s="49" t="str">
        <f t="shared" si="87"/>
        <v/>
      </c>
      <c r="CJ70" s="49" t="str">
        <f t="shared" si="87"/>
        <v/>
      </c>
      <c r="CK70" s="49" t="str">
        <f t="shared" si="87"/>
        <v/>
      </c>
      <c r="CL70" s="49" t="str">
        <f t="shared" si="87"/>
        <v/>
      </c>
      <c r="CM70" s="49" t="str">
        <f t="shared" si="87"/>
        <v/>
      </c>
      <c r="CN70" s="49" t="str">
        <f t="shared" si="87"/>
        <v/>
      </c>
      <c r="CO70" s="49" t="str">
        <f t="shared" si="87"/>
        <v/>
      </c>
      <c r="CP70" s="49" t="str">
        <f t="shared" si="87"/>
        <v/>
      </c>
      <c r="CQ70" s="49" t="str">
        <f t="shared" si="87"/>
        <v/>
      </c>
      <c r="CR70" s="49" t="str">
        <f t="shared" si="87"/>
        <v/>
      </c>
      <c r="CS70" s="49" t="str">
        <f t="shared" si="87"/>
        <v/>
      </c>
      <c r="CT70" s="49" t="str">
        <f t="shared" si="87"/>
        <v/>
      </c>
      <c r="CU70" s="49" t="str">
        <f t="shared" si="87"/>
        <v/>
      </c>
      <c r="CV70" s="49" t="str">
        <f t="shared" si="87"/>
        <v/>
      </c>
      <c r="CW70" s="49" t="str">
        <f t="shared" si="87"/>
        <v/>
      </c>
      <c r="CX70" s="49" t="str">
        <f t="shared" si="87"/>
        <v/>
      </c>
      <c r="CY70" s="49" t="str">
        <f t="shared" si="87"/>
        <v/>
      </c>
      <c r="CZ70" s="49" t="str">
        <f t="shared" si="87"/>
        <v/>
      </c>
      <c r="DA70" s="49" t="str">
        <f t="shared" si="87"/>
        <v/>
      </c>
      <c r="DB70" s="49" t="str">
        <f t="shared" si="87"/>
        <v/>
      </c>
      <c r="DC70" s="49" t="str">
        <f t="shared" si="87"/>
        <v/>
      </c>
      <c r="DD70" s="49" t="str">
        <f t="shared" si="87"/>
        <v/>
      </c>
      <c r="DE70" s="49" t="str">
        <f t="shared" si="87"/>
        <v/>
      </c>
      <c r="DF70" s="49" t="str">
        <f t="shared" si="87"/>
        <v/>
      </c>
      <c r="DG70" s="49" t="str">
        <f t="shared" si="87"/>
        <v/>
      </c>
      <c r="DH70" s="49" t="str">
        <f t="shared" si="87"/>
        <v/>
      </c>
      <c r="DI70" s="49" t="str">
        <f t="shared" si="87"/>
        <v/>
      </c>
      <c r="DJ70" s="49" t="str">
        <f t="shared" si="87"/>
        <v/>
      </c>
    </row>
    <row r="71" spans="1:114" ht="15.75" customHeight="1" x14ac:dyDescent="0.55000000000000004">
      <c r="A71" s="41" t="e">
        <f>MASANIELLO!#REF!</f>
        <v>#REF!</v>
      </c>
      <c r="B71" s="41" t="e">
        <f t="shared" si="2"/>
        <v>#VALUE!</v>
      </c>
      <c r="C71" s="42" t="e">
        <f t="shared" si="3"/>
        <v>#VALUE!</v>
      </c>
      <c r="D71" s="42" t="e">
        <f t="shared" si="4"/>
        <v>#VALUE!</v>
      </c>
      <c r="E71" s="42" t="e">
        <f t="shared" si="5"/>
        <v>#VALUE!</v>
      </c>
      <c r="F71" s="42" t="e">
        <f t="shared" si="6"/>
        <v>#VALUE!</v>
      </c>
      <c r="G71" s="50" t="e">
        <f t="shared" si="7"/>
        <v>#VALUE!</v>
      </c>
      <c r="H71" s="41" t="e">
        <f t="shared" si="8"/>
        <v>#VALUE!</v>
      </c>
      <c r="I71" s="41" t="e">
        <f t="shared" si="9"/>
        <v>#VALUE!</v>
      </c>
      <c r="J71" s="45" t="e">
        <f t="shared" si="10"/>
        <v>#VALUE!</v>
      </c>
      <c r="M71" s="48" t="b">
        <f t="shared" si="11"/>
        <v>0</v>
      </c>
      <c r="N71" s="49" t="e">
        <f t="shared" ref="N71:DJ71" si="88">IF(N$1&gt;$L$2,   "",   IF(N$1=$L$2,  1,  IF($L$2-N$1=$L$1-$M71, $L$3^($L$1-$M71), ($L$3*N72*O72/(N72+($L$3-1)*O72) ))))</f>
        <v>#DIV/0!</v>
      </c>
      <c r="O71" s="49" t="e">
        <f t="shared" si="88"/>
        <v>#DIV/0!</v>
      </c>
      <c r="P71" s="49" t="e">
        <f t="shared" si="88"/>
        <v>#DIV/0!</v>
      </c>
      <c r="Q71" s="49" t="e">
        <f t="shared" si="88"/>
        <v>#DIV/0!</v>
      </c>
      <c r="R71" s="49">
        <f t="shared" si="88"/>
        <v>1</v>
      </c>
      <c r="S71" s="49" t="str">
        <f t="shared" si="88"/>
        <v/>
      </c>
      <c r="T71" s="49" t="str">
        <f t="shared" si="88"/>
        <v/>
      </c>
      <c r="U71" s="49" t="str">
        <f t="shared" si="88"/>
        <v/>
      </c>
      <c r="V71" s="49" t="str">
        <f t="shared" si="88"/>
        <v/>
      </c>
      <c r="W71" s="49" t="str">
        <f t="shared" si="88"/>
        <v/>
      </c>
      <c r="X71" s="49" t="str">
        <f t="shared" si="88"/>
        <v/>
      </c>
      <c r="Y71" s="49" t="str">
        <f t="shared" si="88"/>
        <v/>
      </c>
      <c r="Z71" s="49" t="str">
        <f t="shared" si="88"/>
        <v/>
      </c>
      <c r="AA71" s="49" t="str">
        <f t="shared" si="88"/>
        <v/>
      </c>
      <c r="AB71" s="49" t="str">
        <f t="shared" si="88"/>
        <v/>
      </c>
      <c r="AC71" s="49" t="str">
        <f t="shared" si="88"/>
        <v/>
      </c>
      <c r="AD71" s="49" t="str">
        <f t="shared" si="88"/>
        <v/>
      </c>
      <c r="AE71" s="49" t="str">
        <f t="shared" si="88"/>
        <v/>
      </c>
      <c r="AF71" s="49" t="str">
        <f t="shared" si="88"/>
        <v/>
      </c>
      <c r="AG71" s="49" t="str">
        <f t="shared" si="88"/>
        <v/>
      </c>
      <c r="AH71" s="49" t="str">
        <f t="shared" si="88"/>
        <v/>
      </c>
      <c r="AI71" s="49" t="str">
        <f t="shared" si="88"/>
        <v/>
      </c>
      <c r="AJ71" s="49" t="str">
        <f t="shared" si="88"/>
        <v/>
      </c>
      <c r="AK71" s="49" t="str">
        <f t="shared" si="88"/>
        <v/>
      </c>
      <c r="AL71" s="49" t="str">
        <f t="shared" si="88"/>
        <v/>
      </c>
      <c r="AM71" s="49" t="str">
        <f t="shared" si="88"/>
        <v/>
      </c>
      <c r="AN71" s="49" t="str">
        <f t="shared" si="88"/>
        <v/>
      </c>
      <c r="AO71" s="49" t="str">
        <f t="shared" si="88"/>
        <v/>
      </c>
      <c r="AP71" s="49" t="str">
        <f t="shared" si="88"/>
        <v/>
      </c>
      <c r="AQ71" s="49" t="str">
        <f t="shared" si="88"/>
        <v/>
      </c>
      <c r="AR71" s="49" t="str">
        <f t="shared" si="88"/>
        <v/>
      </c>
      <c r="AS71" s="49" t="str">
        <f t="shared" si="88"/>
        <v/>
      </c>
      <c r="AT71" s="49" t="str">
        <f t="shared" si="88"/>
        <v/>
      </c>
      <c r="AU71" s="49" t="str">
        <f t="shared" si="88"/>
        <v/>
      </c>
      <c r="AV71" s="49" t="str">
        <f t="shared" si="88"/>
        <v/>
      </c>
      <c r="AW71" s="49" t="str">
        <f t="shared" si="88"/>
        <v/>
      </c>
      <c r="AX71" s="49" t="str">
        <f t="shared" si="88"/>
        <v/>
      </c>
      <c r="AY71" s="49" t="str">
        <f t="shared" si="88"/>
        <v/>
      </c>
      <c r="AZ71" s="49" t="str">
        <f t="shared" si="88"/>
        <v/>
      </c>
      <c r="BA71" s="49" t="str">
        <f t="shared" si="88"/>
        <v/>
      </c>
      <c r="BB71" s="49" t="str">
        <f t="shared" si="88"/>
        <v/>
      </c>
      <c r="BC71" s="49" t="str">
        <f t="shared" si="88"/>
        <v/>
      </c>
      <c r="BD71" s="49" t="str">
        <f t="shared" si="88"/>
        <v/>
      </c>
      <c r="BE71" s="49" t="str">
        <f t="shared" si="88"/>
        <v/>
      </c>
      <c r="BF71" s="49" t="str">
        <f t="shared" si="88"/>
        <v/>
      </c>
      <c r="BG71" s="49" t="str">
        <f t="shared" si="88"/>
        <v/>
      </c>
      <c r="BH71" s="49" t="str">
        <f t="shared" si="88"/>
        <v/>
      </c>
      <c r="BI71" s="49" t="str">
        <f t="shared" si="88"/>
        <v/>
      </c>
      <c r="BJ71" s="49" t="str">
        <f t="shared" si="88"/>
        <v/>
      </c>
      <c r="BK71" s="49" t="str">
        <f t="shared" si="88"/>
        <v/>
      </c>
      <c r="BL71" s="49" t="str">
        <f t="shared" si="88"/>
        <v/>
      </c>
      <c r="BM71" s="49" t="str">
        <f t="shared" si="88"/>
        <v/>
      </c>
      <c r="BN71" s="49" t="str">
        <f t="shared" si="88"/>
        <v/>
      </c>
      <c r="BO71" s="49" t="str">
        <f t="shared" si="88"/>
        <v/>
      </c>
      <c r="BP71" s="49" t="str">
        <f t="shared" si="88"/>
        <v/>
      </c>
      <c r="BQ71" s="49" t="str">
        <f t="shared" si="88"/>
        <v/>
      </c>
      <c r="BR71" s="49" t="str">
        <f t="shared" si="88"/>
        <v/>
      </c>
      <c r="BS71" s="49" t="str">
        <f t="shared" si="88"/>
        <v/>
      </c>
      <c r="BT71" s="49" t="str">
        <f t="shared" si="88"/>
        <v/>
      </c>
      <c r="BU71" s="49" t="str">
        <f t="shared" si="88"/>
        <v/>
      </c>
      <c r="BV71" s="49" t="str">
        <f t="shared" si="88"/>
        <v/>
      </c>
      <c r="BW71" s="49" t="str">
        <f t="shared" si="88"/>
        <v/>
      </c>
      <c r="BX71" s="49" t="str">
        <f t="shared" si="88"/>
        <v/>
      </c>
      <c r="BY71" s="49" t="str">
        <f t="shared" si="88"/>
        <v/>
      </c>
      <c r="BZ71" s="49" t="str">
        <f t="shared" si="88"/>
        <v/>
      </c>
      <c r="CA71" s="49" t="str">
        <f t="shared" si="88"/>
        <v/>
      </c>
      <c r="CB71" s="49" t="str">
        <f t="shared" si="88"/>
        <v/>
      </c>
      <c r="CC71" s="49" t="str">
        <f t="shared" si="88"/>
        <v/>
      </c>
      <c r="CD71" s="49" t="str">
        <f t="shared" si="88"/>
        <v/>
      </c>
      <c r="CE71" s="49" t="str">
        <f t="shared" si="88"/>
        <v/>
      </c>
      <c r="CF71" s="49" t="str">
        <f t="shared" si="88"/>
        <v/>
      </c>
      <c r="CG71" s="49" t="str">
        <f t="shared" si="88"/>
        <v/>
      </c>
      <c r="CH71" s="49" t="str">
        <f t="shared" si="88"/>
        <v/>
      </c>
      <c r="CI71" s="49" t="str">
        <f t="shared" si="88"/>
        <v/>
      </c>
      <c r="CJ71" s="49" t="str">
        <f t="shared" si="88"/>
        <v/>
      </c>
      <c r="CK71" s="49" t="str">
        <f t="shared" si="88"/>
        <v/>
      </c>
      <c r="CL71" s="49" t="str">
        <f t="shared" si="88"/>
        <v/>
      </c>
      <c r="CM71" s="49" t="str">
        <f t="shared" si="88"/>
        <v/>
      </c>
      <c r="CN71" s="49" t="str">
        <f t="shared" si="88"/>
        <v/>
      </c>
      <c r="CO71" s="49" t="str">
        <f t="shared" si="88"/>
        <v/>
      </c>
      <c r="CP71" s="49" t="str">
        <f t="shared" si="88"/>
        <v/>
      </c>
      <c r="CQ71" s="49" t="str">
        <f t="shared" si="88"/>
        <v/>
      </c>
      <c r="CR71" s="49" t="str">
        <f t="shared" si="88"/>
        <v/>
      </c>
      <c r="CS71" s="49" t="str">
        <f t="shared" si="88"/>
        <v/>
      </c>
      <c r="CT71" s="49" t="str">
        <f t="shared" si="88"/>
        <v/>
      </c>
      <c r="CU71" s="49" t="str">
        <f t="shared" si="88"/>
        <v/>
      </c>
      <c r="CV71" s="49" t="str">
        <f t="shared" si="88"/>
        <v/>
      </c>
      <c r="CW71" s="49" t="str">
        <f t="shared" si="88"/>
        <v/>
      </c>
      <c r="CX71" s="49" t="str">
        <f t="shared" si="88"/>
        <v/>
      </c>
      <c r="CY71" s="49" t="str">
        <f t="shared" si="88"/>
        <v/>
      </c>
      <c r="CZ71" s="49" t="str">
        <f t="shared" si="88"/>
        <v/>
      </c>
      <c r="DA71" s="49" t="str">
        <f t="shared" si="88"/>
        <v/>
      </c>
      <c r="DB71" s="49" t="str">
        <f t="shared" si="88"/>
        <v/>
      </c>
      <c r="DC71" s="49" t="str">
        <f t="shared" si="88"/>
        <v/>
      </c>
      <c r="DD71" s="49" t="str">
        <f t="shared" si="88"/>
        <v/>
      </c>
      <c r="DE71" s="49" t="str">
        <f t="shared" si="88"/>
        <v/>
      </c>
      <c r="DF71" s="49" t="str">
        <f t="shared" si="88"/>
        <v/>
      </c>
      <c r="DG71" s="49" t="str">
        <f t="shared" si="88"/>
        <v/>
      </c>
      <c r="DH71" s="49" t="str">
        <f t="shared" si="88"/>
        <v/>
      </c>
      <c r="DI71" s="49" t="str">
        <f t="shared" si="88"/>
        <v/>
      </c>
      <c r="DJ71" s="49" t="str">
        <f t="shared" si="88"/>
        <v/>
      </c>
    </row>
    <row r="72" spans="1:114" ht="15.75" customHeight="1" x14ac:dyDescent="0.55000000000000004">
      <c r="A72" s="41" t="e">
        <f>MASANIELLO!#REF!</f>
        <v>#REF!</v>
      </c>
      <c r="B72" s="41" t="e">
        <f t="shared" si="2"/>
        <v>#VALUE!</v>
      </c>
      <c r="C72" s="42" t="e">
        <f t="shared" si="3"/>
        <v>#VALUE!</v>
      </c>
      <c r="D72" s="42" t="e">
        <f t="shared" si="4"/>
        <v>#VALUE!</v>
      </c>
      <c r="E72" s="42" t="e">
        <f t="shared" si="5"/>
        <v>#VALUE!</v>
      </c>
      <c r="F72" s="42" t="e">
        <f t="shared" si="6"/>
        <v>#VALUE!</v>
      </c>
      <c r="G72" s="50" t="e">
        <f t="shared" si="7"/>
        <v>#VALUE!</v>
      </c>
      <c r="H72" s="41" t="e">
        <f t="shared" si="8"/>
        <v>#VALUE!</v>
      </c>
      <c r="I72" s="41" t="e">
        <f t="shared" si="9"/>
        <v>#VALUE!</v>
      </c>
      <c r="J72" s="45" t="e">
        <f t="shared" si="10"/>
        <v>#VALUE!</v>
      </c>
      <c r="M72" s="48" t="b">
        <f t="shared" si="11"/>
        <v>0</v>
      </c>
      <c r="N72" s="49" t="e">
        <f t="shared" ref="N72:DJ72" si="89">IF(N$1&gt;$L$2,   "",   IF(N$1=$L$2,  1,  IF($L$2-N$1=$L$1-$M72, $L$3^($L$1-$M72), ($L$3*N73*O73/(N73+($L$3-1)*O73) ))))</f>
        <v>#DIV/0!</v>
      </c>
      <c r="O72" s="49" t="e">
        <f t="shared" si="89"/>
        <v>#DIV/0!</v>
      </c>
      <c r="P72" s="49" t="e">
        <f t="shared" si="89"/>
        <v>#DIV/0!</v>
      </c>
      <c r="Q72" s="49" t="e">
        <f t="shared" si="89"/>
        <v>#DIV/0!</v>
      </c>
      <c r="R72" s="49">
        <f t="shared" si="89"/>
        <v>1</v>
      </c>
      <c r="S72" s="49" t="str">
        <f t="shared" si="89"/>
        <v/>
      </c>
      <c r="T72" s="49" t="str">
        <f t="shared" si="89"/>
        <v/>
      </c>
      <c r="U72" s="49" t="str">
        <f t="shared" si="89"/>
        <v/>
      </c>
      <c r="V72" s="49" t="str">
        <f t="shared" si="89"/>
        <v/>
      </c>
      <c r="W72" s="49" t="str">
        <f t="shared" si="89"/>
        <v/>
      </c>
      <c r="X72" s="49" t="str">
        <f t="shared" si="89"/>
        <v/>
      </c>
      <c r="Y72" s="49" t="str">
        <f t="shared" si="89"/>
        <v/>
      </c>
      <c r="Z72" s="49" t="str">
        <f t="shared" si="89"/>
        <v/>
      </c>
      <c r="AA72" s="49" t="str">
        <f t="shared" si="89"/>
        <v/>
      </c>
      <c r="AB72" s="49" t="str">
        <f t="shared" si="89"/>
        <v/>
      </c>
      <c r="AC72" s="49" t="str">
        <f t="shared" si="89"/>
        <v/>
      </c>
      <c r="AD72" s="49" t="str">
        <f t="shared" si="89"/>
        <v/>
      </c>
      <c r="AE72" s="49" t="str">
        <f t="shared" si="89"/>
        <v/>
      </c>
      <c r="AF72" s="49" t="str">
        <f t="shared" si="89"/>
        <v/>
      </c>
      <c r="AG72" s="49" t="str">
        <f t="shared" si="89"/>
        <v/>
      </c>
      <c r="AH72" s="49" t="str">
        <f t="shared" si="89"/>
        <v/>
      </c>
      <c r="AI72" s="49" t="str">
        <f t="shared" si="89"/>
        <v/>
      </c>
      <c r="AJ72" s="49" t="str">
        <f t="shared" si="89"/>
        <v/>
      </c>
      <c r="AK72" s="49" t="str">
        <f t="shared" si="89"/>
        <v/>
      </c>
      <c r="AL72" s="49" t="str">
        <f t="shared" si="89"/>
        <v/>
      </c>
      <c r="AM72" s="49" t="str">
        <f t="shared" si="89"/>
        <v/>
      </c>
      <c r="AN72" s="49" t="str">
        <f t="shared" si="89"/>
        <v/>
      </c>
      <c r="AO72" s="49" t="str">
        <f t="shared" si="89"/>
        <v/>
      </c>
      <c r="AP72" s="49" t="str">
        <f t="shared" si="89"/>
        <v/>
      </c>
      <c r="AQ72" s="49" t="str">
        <f t="shared" si="89"/>
        <v/>
      </c>
      <c r="AR72" s="49" t="str">
        <f t="shared" si="89"/>
        <v/>
      </c>
      <c r="AS72" s="49" t="str">
        <f t="shared" si="89"/>
        <v/>
      </c>
      <c r="AT72" s="49" t="str">
        <f t="shared" si="89"/>
        <v/>
      </c>
      <c r="AU72" s="49" t="str">
        <f t="shared" si="89"/>
        <v/>
      </c>
      <c r="AV72" s="49" t="str">
        <f t="shared" si="89"/>
        <v/>
      </c>
      <c r="AW72" s="49" t="str">
        <f t="shared" si="89"/>
        <v/>
      </c>
      <c r="AX72" s="49" t="str">
        <f t="shared" si="89"/>
        <v/>
      </c>
      <c r="AY72" s="49" t="str">
        <f t="shared" si="89"/>
        <v/>
      </c>
      <c r="AZ72" s="49" t="str">
        <f t="shared" si="89"/>
        <v/>
      </c>
      <c r="BA72" s="49" t="str">
        <f t="shared" si="89"/>
        <v/>
      </c>
      <c r="BB72" s="49" t="str">
        <f t="shared" si="89"/>
        <v/>
      </c>
      <c r="BC72" s="49" t="str">
        <f t="shared" si="89"/>
        <v/>
      </c>
      <c r="BD72" s="49" t="str">
        <f t="shared" si="89"/>
        <v/>
      </c>
      <c r="BE72" s="49" t="str">
        <f t="shared" si="89"/>
        <v/>
      </c>
      <c r="BF72" s="49" t="str">
        <f t="shared" si="89"/>
        <v/>
      </c>
      <c r="BG72" s="49" t="str">
        <f t="shared" si="89"/>
        <v/>
      </c>
      <c r="BH72" s="49" t="str">
        <f t="shared" si="89"/>
        <v/>
      </c>
      <c r="BI72" s="49" t="str">
        <f t="shared" si="89"/>
        <v/>
      </c>
      <c r="BJ72" s="49" t="str">
        <f t="shared" si="89"/>
        <v/>
      </c>
      <c r="BK72" s="49" t="str">
        <f t="shared" si="89"/>
        <v/>
      </c>
      <c r="BL72" s="49" t="str">
        <f t="shared" si="89"/>
        <v/>
      </c>
      <c r="BM72" s="49" t="str">
        <f t="shared" si="89"/>
        <v/>
      </c>
      <c r="BN72" s="49" t="str">
        <f t="shared" si="89"/>
        <v/>
      </c>
      <c r="BO72" s="49" t="str">
        <f t="shared" si="89"/>
        <v/>
      </c>
      <c r="BP72" s="49" t="str">
        <f t="shared" si="89"/>
        <v/>
      </c>
      <c r="BQ72" s="49" t="str">
        <f t="shared" si="89"/>
        <v/>
      </c>
      <c r="BR72" s="49" t="str">
        <f t="shared" si="89"/>
        <v/>
      </c>
      <c r="BS72" s="49" t="str">
        <f t="shared" si="89"/>
        <v/>
      </c>
      <c r="BT72" s="49" t="str">
        <f t="shared" si="89"/>
        <v/>
      </c>
      <c r="BU72" s="49" t="str">
        <f t="shared" si="89"/>
        <v/>
      </c>
      <c r="BV72" s="49" t="str">
        <f t="shared" si="89"/>
        <v/>
      </c>
      <c r="BW72" s="49" t="str">
        <f t="shared" si="89"/>
        <v/>
      </c>
      <c r="BX72" s="49" t="str">
        <f t="shared" si="89"/>
        <v/>
      </c>
      <c r="BY72" s="49" t="str">
        <f t="shared" si="89"/>
        <v/>
      </c>
      <c r="BZ72" s="49" t="str">
        <f t="shared" si="89"/>
        <v/>
      </c>
      <c r="CA72" s="49" t="str">
        <f t="shared" si="89"/>
        <v/>
      </c>
      <c r="CB72" s="49" t="str">
        <f t="shared" si="89"/>
        <v/>
      </c>
      <c r="CC72" s="49" t="str">
        <f t="shared" si="89"/>
        <v/>
      </c>
      <c r="CD72" s="49" t="str">
        <f t="shared" si="89"/>
        <v/>
      </c>
      <c r="CE72" s="49" t="str">
        <f t="shared" si="89"/>
        <v/>
      </c>
      <c r="CF72" s="49" t="str">
        <f t="shared" si="89"/>
        <v/>
      </c>
      <c r="CG72" s="49" t="str">
        <f t="shared" si="89"/>
        <v/>
      </c>
      <c r="CH72" s="49" t="str">
        <f t="shared" si="89"/>
        <v/>
      </c>
      <c r="CI72" s="49" t="str">
        <f t="shared" si="89"/>
        <v/>
      </c>
      <c r="CJ72" s="49" t="str">
        <f t="shared" si="89"/>
        <v/>
      </c>
      <c r="CK72" s="49" t="str">
        <f t="shared" si="89"/>
        <v/>
      </c>
      <c r="CL72" s="49" t="str">
        <f t="shared" si="89"/>
        <v/>
      </c>
      <c r="CM72" s="49" t="str">
        <f t="shared" si="89"/>
        <v/>
      </c>
      <c r="CN72" s="49" t="str">
        <f t="shared" si="89"/>
        <v/>
      </c>
      <c r="CO72" s="49" t="str">
        <f t="shared" si="89"/>
        <v/>
      </c>
      <c r="CP72" s="49" t="str">
        <f t="shared" si="89"/>
        <v/>
      </c>
      <c r="CQ72" s="49" t="str">
        <f t="shared" si="89"/>
        <v/>
      </c>
      <c r="CR72" s="49" t="str">
        <f t="shared" si="89"/>
        <v/>
      </c>
      <c r="CS72" s="49" t="str">
        <f t="shared" si="89"/>
        <v/>
      </c>
      <c r="CT72" s="49" t="str">
        <f t="shared" si="89"/>
        <v/>
      </c>
      <c r="CU72" s="49" t="str">
        <f t="shared" si="89"/>
        <v/>
      </c>
      <c r="CV72" s="49" t="str">
        <f t="shared" si="89"/>
        <v/>
      </c>
      <c r="CW72" s="49" t="str">
        <f t="shared" si="89"/>
        <v/>
      </c>
      <c r="CX72" s="49" t="str">
        <f t="shared" si="89"/>
        <v/>
      </c>
      <c r="CY72" s="49" t="str">
        <f t="shared" si="89"/>
        <v/>
      </c>
      <c r="CZ72" s="49" t="str">
        <f t="shared" si="89"/>
        <v/>
      </c>
      <c r="DA72" s="49" t="str">
        <f t="shared" si="89"/>
        <v/>
      </c>
      <c r="DB72" s="49" t="str">
        <f t="shared" si="89"/>
        <v/>
      </c>
      <c r="DC72" s="49" t="str">
        <f t="shared" si="89"/>
        <v/>
      </c>
      <c r="DD72" s="49" t="str">
        <f t="shared" si="89"/>
        <v/>
      </c>
      <c r="DE72" s="49" t="str">
        <f t="shared" si="89"/>
        <v/>
      </c>
      <c r="DF72" s="49" t="str">
        <f t="shared" si="89"/>
        <v/>
      </c>
      <c r="DG72" s="49" t="str">
        <f t="shared" si="89"/>
        <v/>
      </c>
      <c r="DH72" s="49" t="str">
        <f t="shared" si="89"/>
        <v/>
      </c>
      <c r="DI72" s="49" t="str">
        <f t="shared" si="89"/>
        <v/>
      </c>
      <c r="DJ72" s="49" t="str">
        <f t="shared" si="89"/>
        <v/>
      </c>
    </row>
    <row r="73" spans="1:114" ht="15.75" customHeight="1" x14ac:dyDescent="0.55000000000000004">
      <c r="A73" s="41" t="e">
        <f>MASANIELLO!#REF!</f>
        <v>#REF!</v>
      </c>
      <c r="B73" s="41" t="e">
        <f t="shared" si="2"/>
        <v>#VALUE!</v>
      </c>
      <c r="C73" s="42" t="e">
        <f t="shared" si="3"/>
        <v>#VALUE!</v>
      </c>
      <c r="D73" s="42" t="e">
        <f t="shared" si="4"/>
        <v>#VALUE!</v>
      </c>
      <c r="E73" s="42" t="e">
        <f t="shared" si="5"/>
        <v>#VALUE!</v>
      </c>
      <c r="F73" s="42" t="e">
        <f t="shared" si="6"/>
        <v>#VALUE!</v>
      </c>
      <c r="G73" s="50" t="e">
        <f t="shared" si="7"/>
        <v>#VALUE!</v>
      </c>
      <c r="H73" s="41" t="e">
        <f t="shared" si="8"/>
        <v>#VALUE!</v>
      </c>
      <c r="I73" s="41" t="e">
        <f t="shared" si="9"/>
        <v>#VALUE!</v>
      </c>
      <c r="J73" s="45" t="e">
        <f t="shared" si="10"/>
        <v>#VALUE!</v>
      </c>
      <c r="M73" s="48" t="b">
        <f t="shared" si="11"/>
        <v>0</v>
      </c>
      <c r="N73" s="49" t="e">
        <f t="shared" ref="N73:DJ73" si="90">IF(N$1&gt;$L$2,   "",   IF(N$1=$L$2,  1,  IF($L$2-N$1=$L$1-$M73, $L$3^($L$1-$M73), ($L$3*N74*O74/(N74+($L$3-1)*O74) ))))</f>
        <v>#DIV/0!</v>
      </c>
      <c r="O73" s="49" t="e">
        <f t="shared" si="90"/>
        <v>#DIV/0!</v>
      </c>
      <c r="P73" s="49" t="e">
        <f t="shared" si="90"/>
        <v>#DIV/0!</v>
      </c>
      <c r="Q73" s="49" t="e">
        <f t="shared" si="90"/>
        <v>#DIV/0!</v>
      </c>
      <c r="R73" s="49">
        <f t="shared" si="90"/>
        <v>1</v>
      </c>
      <c r="S73" s="49" t="str">
        <f t="shared" si="90"/>
        <v/>
      </c>
      <c r="T73" s="49" t="str">
        <f t="shared" si="90"/>
        <v/>
      </c>
      <c r="U73" s="49" t="str">
        <f t="shared" si="90"/>
        <v/>
      </c>
      <c r="V73" s="49" t="str">
        <f t="shared" si="90"/>
        <v/>
      </c>
      <c r="W73" s="49" t="str">
        <f t="shared" si="90"/>
        <v/>
      </c>
      <c r="X73" s="49" t="str">
        <f t="shared" si="90"/>
        <v/>
      </c>
      <c r="Y73" s="49" t="str">
        <f t="shared" si="90"/>
        <v/>
      </c>
      <c r="Z73" s="49" t="str">
        <f t="shared" si="90"/>
        <v/>
      </c>
      <c r="AA73" s="49" t="str">
        <f t="shared" si="90"/>
        <v/>
      </c>
      <c r="AB73" s="49" t="str">
        <f t="shared" si="90"/>
        <v/>
      </c>
      <c r="AC73" s="49" t="str">
        <f t="shared" si="90"/>
        <v/>
      </c>
      <c r="AD73" s="49" t="str">
        <f t="shared" si="90"/>
        <v/>
      </c>
      <c r="AE73" s="49" t="str">
        <f t="shared" si="90"/>
        <v/>
      </c>
      <c r="AF73" s="49" t="str">
        <f t="shared" si="90"/>
        <v/>
      </c>
      <c r="AG73" s="49" t="str">
        <f t="shared" si="90"/>
        <v/>
      </c>
      <c r="AH73" s="49" t="str">
        <f t="shared" si="90"/>
        <v/>
      </c>
      <c r="AI73" s="49" t="str">
        <f t="shared" si="90"/>
        <v/>
      </c>
      <c r="AJ73" s="49" t="str">
        <f t="shared" si="90"/>
        <v/>
      </c>
      <c r="AK73" s="49" t="str">
        <f t="shared" si="90"/>
        <v/>
      </c>
      <c r="AL73" s="49" t="str">
        <f t="shared" si="90"/>
        <v/>
      </c>
      <c r="AM73" s="49" t="str">
        <f t="shared" si="90"/>
        <v/>
      </c>
      <c r="AN73" s="49" t="str">
        <f t="shared" si="90"/>
        <v/>
      </c>
      <c r="AO73" s="49" t="str">
        <f t="shared" si="90"/>
        <v/>
      </c>
      <c r="AP73" s="49" t="str">
        <f t="shared" si="90"/>
        <v/>
      </c>
      <c r="AQ73" s="49" t="str">
        <f t="shared" si="90"/>
        <v/>
      </c>
      <c r="AR73" s="49" t="str">
        <f t="shared" si="90"/>
        <v/>
      </c>
      <c r="AS73" s="49" t="str">
        <f t="shared" si="90"/>
        <v/>
      </c>
      <c r="AT73" s="49" t="str">
        <f t="shared" si="90"/>
        <v/>
      </c>
      <c r="AU73" s="49" t="str">
        <f t="shared" si="90"/>
        <v/>
      </c>
      <c r="AV73" s="49" t="str">
        <f t="shared" si="90"/>
        <v/>
      </c>
      <c r="AW73" s="49" t="str">
        <f t="shared" si="90"/>
        <v/>
      </c>
      <c r="AX73" s="49" t="str">
        <f t="shared" si="90"/>
        <v/>
      </c>
      <c r="AY73" s="49" t="str">
        <f t="shared" si="90"/>
        <v/>
      </c>
      <c r="AZ73" s="49" t="str">
        <f t="shared" si="90"/>
        <v/>
      </c>
      <c r="BA73" s="49" t="str">
        <f t="shared" si="90"/>
        <v/>
      </c>
      <c r="BB73" s="49" t="str">
        <f t="shared" si="90"/>
        <v/>
      </c>
      <c r="BC73" s="49" t="str">
        <f t="shared" si="90"/>
        <v/>
      </c>
      <c r="BD73" s="49" t="str">
        <f t="shared" si="90"/>
        <v/>
      </c>
      <c r="BE73" s="49" t="str">
        <f t="shared" si="90"/>
        <v/>
      </c>
      <c r="BF73" s="49" t="str">
        <f t="shared" si="90"/>
        <v/>
      </c>
      <c r="BG73" s="49" t="str">
        <f t="shared" si="90"/>
        <v/>
      </c>
      <c r="BH73" s="49" t="str">
        <f t="shared" si="90"/>
        <v/>
      </c>
      <c r="BI73" s="49" t="str">
        <f t="shared" si="90"/>
        <v/>
      </c>
      <c r="BJ73" s="49" t="str">
        <f t="shared" si="90"/>
        <v/>
      </c>
      <c r="BK73" s="49" t="str">
        <f t="shared" si="90"/>
        <v/>
      </c>
      <c r="BL73" s="49" t="str">
        <f t="shared" si="90"/>
        <v/>
      </c>
      <c r="BM73" s="49" t="str">
        <f t="shared" si="90"/>
        <v/>
      </c>
      <c r="BN73" s="49" t="str">
        <f t="shared" si="90"/>
        <v/>
      </c>
      <c r="BO73" s="49" t="str">
        <f t="shared" si="90"/>
        <v/>
      </c>
      <c r="BP73" s="49" t="str">
        <f t="shared" si="90"/>
        <v/>
      </c>
      <c r="BQ73" s="49" t="str">
        <f t="shared" si="90"/>
        <v/>
      </c>
      <c r="BR73" s="49" t="str">
        <f t="shared" si="90"/>
        <v/>
      </c>
      <c r="BS73" s="49" t="str">
        <f t="shared" si="90"/>
        <v/>
      </c>
      <c r="BT73" s="49" t="str">
        <f t="shared" si="90"/>
        <v/>
      </c>
      <c r="BU73" s="49" t="str">
        <f t="shared" si="90"/>
        <v/>
      </c>
      <c r="BV73" s="49" t="str">
        <f t="shared" si="90"/>
        <v/>
      </c>
      <c r="BW73" s="49" t="str">
        <f t="shared" si="90"/>
        <v/>
      </c>
      <c r="BX73" s="49" t="str">
        <f t="shared" si="90"/>
        <v/>
      </c>
      <c r="BY73" s="49" t="str">
        <f t="shared" si="90"/>
        <v/>
      </c>
      <c r="BZ73" s="49" t="str">
        <f t="shared" si="90"/>
        <v/>
      </c>
      <c r="CA73" s="49" t="str">
        <f t="shared" si="90"/>
        <v/>
      </c>
      <c r="CB73" s="49" t="str">
        <f t="shared" si="90"/>
        <v/>
      </c>
      <c r="CC73" s="49" t="str">
        <f t="shared" si="90"/>
        <v/>
      </c>
      <c r="CD73" s="49" t="str">
        <f t="shared" si="90"/>
        <v/>
      </c>
      <c r="CE73" s="49" t="str">
        <f t="shared" si="90"/>
        <v/>
      </c>
      <c r="CF73" s="49" t="str">
        <f t="shared" si="90"/>
        <v/>
      </c>
      <c r="CG73" s="49" t="str">
        <f t="shared" si="90"/>
        <v/>
      </c>
      <c r="CH73" s="49" t="str">
        <f t="shared" si="90"/>
        <v/>
      </c>
      <c r="CI73" s="49" t="str">
        <f t="shared" si="90"/>
        <v/>
      </c>
      <c r="CJ73" s="49" t="str">
        <f t="shared" si="90"/>
        <v/>
      </c>
      <c r="CK73" s="49" t="str">
        <f t="shared" si="90"/>
        <v/>
      </c>
      <c r="CL73" s="49" t="str">
        <f t="shared" si="90"/>
        <v/>
      </c>
      <c r="CM73" s="49" t="str">
        <f t="shared" si="90"/>
        <v/>
      </c>
      <c r="CN73" s="49" t="str">
        <f t="shared" si="90"/>
        <v/>
      </c>
      <c r="CO73" s="49" t="str">
        <f t="shared" si="90"/>
        <v/>
      </c>
      <c r="CP73" s="49" t="str">
        <f t="shared" si="90"/>
        <v/>
      </c>
      <c r="CQ73" s="49" t="str">
        <f t="shared" si="90"/>
        <v/>
      </c>
      <c r="CR73" s="49" t="str">
        <f t="shared" si="90"/>
        <v/>
      </c>
      <c r="CS73" s="49" t="str">
        <f t="shared" si="90"/>
        <v/>
      </c>
      <c r="CT73" s="49" t="str">
        <f t="shared" si="90"/>
        <v/>
      </c>
      <c r="CU73" s="49" t="str">
        <f t="shared" si="90"/>
        <v/>
      </c>
      <c r="CV73" s="49" t="str">
        <f t="shared" si="90"/>
        <v/>
      </c>
      <c r="CW73" s="49" t="str">
        <f t="shared" si="90"/>
        <v/>
      </c>
      <c r="CX73" s="49" t="str">
        <f t="shared" si="90"/>
        <v/>
      </c>
      <c r="CY73" s="49" t="str">
        <f t="shared" si="90"/>
        <v/>
      </c>
      <c r="CZ73" s="49" t="str">
        <f t="shared" si="90"/>
        <v/>
      </c>
      <c r="DA73" s="49" t="str">
        <f t="shared" si="90"/>
        <v/>
      </c>
      <c r="DB73" s="49" t="str">
        <f t="shared" si="90"/>
        <v/>
      </c>
      <c r="DC73" s="49" t="str">
        <f t="shared" si="90"/>
        <v/>
      </c>
      <c r="DD73" s="49" t="str">
        <f t="shared" si="90"/>
        <v/>
      </c>
      <c r="DE73" s="49" t="str">
        <f t="shared" si="90"/>
        <v/>
      </c>
      <c r="DF73" s="49" t="str">
        <f t="shared" si="90"/>
        <v/>
      </c>
      <c r="DG73" s="49" t="str">
        <f t="shared" si="90"/>
        <v/>
      </c>
      <c r="DH73" s="49" t="str">
        <f t="shared" si="90"/>
        <v/>
      </c>
      <c r="DI73" s="49" t="str">
        <f t="shared" si="90"/>
        <v/>
      </c>
      <c r="DJ73" s="49" t="str">
        <f t="shared" si="90"/>
        <v/>
      </c>
    </row>
    <row r="74" spans="1:114" ht="15.75" customHeight="1" x14ac:dyDescent="0.55000000000000004">
      <c r="A74" s="41" t="e">
        <f>MASANIELLO!#REF!</f>
        <v>#REF!</v>
      </c>
      <c r="B74" s="41" t="e">
        <f t="shared" si="2"/>
        <v>#VALUE!</v>
      </c>
      <c r="C74" s="42" t="e">
        <f t="shared" si="3"/>
        <v>#VALUE!</v>
      </c>
      <c r="D74" s="42" t="e">
        <f t="shared" si="4"/>
        <v>#VALUE!</v>
      </c>
      <c r="E74" s="42" t="e">
        <f t="shared" si="5"/>
        <v>#VALUE!</v>
      </c>
      <c r="F74" s="42" t="e">
        <f t="shared" si="6"/>
        <v>#VALUE!</v>
      </c>
      <c r="G74" s="50" t="e">
        <f t="shared" si="7"/>
        <v>#VALUE!</v>
      </c>
      <c r="H74" s="41" t="e">
        <f t="shared" si="8"/>
        <v>#VALUE!</v>
      </c>
      <c r="I74" s="41" t="e">
        <f t="shared" si="9"/>
        <v>#VALUE!</v>
      </c>
      <c r="J74" s="45" t="e">
        <f t="shared" si="10"/>
        <v>#VALUE!</v>
      </c>
      <c r="M74" s="48" t="b">
        <f t="shared" si="11"/>
        <v>0</v>
      </c>
      <c r="N74" s="49" t="e">
        <f t="shared" ref="N74:DJ74" si="91">IF(N$1&gt;$L$2,   "",   IF(N$1=$L$2,  1,  IF($L$2-N$1=$L$1-$M74, $L$3^($L$1-$M74), ($L$3*N75*O75/(N75+($L$3-1)*O75) ))))</f>
        <v>#DIV/0!</v>
      </c>
      <c r="O74" s="49" t="e">
        <f t="shared" si="91"/>
        <v>#DIV/0!</v>
      </c>
      <c r="P74" s="49" t="e">
        <f t="shared" si="91"/>
        <v>#DIV/0!</v>
      </c>
      <c r="Q74" s="49" t="e">
        <f t="shared" si="91"/>
        <v>#DIV/0!</v>
      </c>
      <c r="R74" s="49">
        <f t="shared" si="91"/>
        <v>1</v>
      </c>
      <c r="S74" s="49" t="str">
        <f t="shared" si="91"/>
        <v/>
      </c>
      <c r="T74" s="49" t="str">
        <f t="shared" si="91"/>
        <v/>
      </c>
      <c r="U74" s="49" t="str">
        <f t="shared" si="91"/>
        <v/>
      </c>
      <c r="V74" s="49" t="str">
        <f t="shared" si="91"/>
        <v/>
      </c>
      <c r="W74" s="49" t="str">
        <f t="shared" si="91"/>
        <v/>
      </c>
      <c r="X74" s="49" t="str">
        <f t="shared" si="91"/>
        <v/>
      </c>
      <c r="Y74" s="49" t="str">
        <f t="shared" si="91"/>
        <v/>
      </c>
      <c r="Z74" s="49" t="str">
        <f t="shared" si="91"/>
        <v/>
      </c>
      <c r="AA74" s="49" t="str">
        <f t="shared" si="91"/>
        <v/>
      </c>
      <c r="AB74" s="49" t="str">
        <f t="shared" si="91"/>
        <v/>
      </c>
      <c r="AC74" s="49" t="str">
        <f t="shared" si="91"/>
        <v/>
      </c>
      <c r="AD74" s="49" t="str">
        <f t="shared" si="91"/>
        <v/>
      </c>
      <c r="AE74" s="49" t="str">
        <f t="shared" si="91"/>
        <v/>
      </c>
      <c r="AF74" s="49" t="str">
        <f t="shared" si="91"/>
        <v/>
      </c>
      <c r="AG74" s="49" t="str">
        <f t="shared" si="91"/>
        <v/>
      </c>
      <c r="AH74" s="49" t="str">
        <f t="shared" si="91"/>
        <v/>
      </c>
      <c r="AI74" s="49" t="str">
        <f t="shared" si="91"/>
        <v/>
      </c>
      <c r="AJ74" s="49" t="str">
        <f t="shared" si="91"/>
        <v/>
      </c>
      <c r="AK74" s="49" t="str">
        <f t="shared" si="91"/>
        <v/>
      </c>
      <c r="AL74" s="49" t="str">
        <f t="shared" si="91"/>
        <v/>
      </c>
      <c r="AM74" s="49" t="str">
        <f t="shared" si="91"/>
        <v/>
      </c>
      <c r="AN74" s="49" t="str">
        <f t="shared" si="91"/>
        <v/>
      </c>
      <c r="AO74" s="49" t="str">
        <f t="shared" si="91"/>
        <v/>
      </c>
      <c r="AP74" s="49" t="str">
        <f t="shared" si="91"/>
        <v/>
      </c>
      <c r="AQ74" s="49" t="str">
        <f t="shared" si="91"/>
        <v/>
      </c>
      <c r="AR74" s="49" t="str">
        <f t="shared" si="91"/>
        <v/>
      </c>
      <c r="AS74" s="49" t="str">
        <f t="shared" si="91"/>
        <v/>
      </c>
      <c r="AT74" s="49" t="str">
        <f t="shared" si="91"/>
        <v/>
      </c>
      <c r="AU74" s="49" t="str">
        <f t="shared" si="91"/>
        <v/>
      </c>
      <c r="AV74" s="49" t="str">
        <f t="shared" si="91"/>
        <v/>
      </c>
      <c r="AW74" s="49" t="str">
        <f t="shared" si="91"/>
        <v/>
      </c>
      <c r="AX74" s="49" t="str">
        <f t="shared" si="91"/>
        <v/>
      </c>
      <c r="AY74" s="49" t="str">
        <f t="shared" si="91"/>
        <v/>
      </c>
      <c r="AZ74" s="49" t="str">
        <f t="shared" si="91"/>
        <v/>
      </c>
      <c r="BA74" s="49" t="str">
        <f t="shared" si="91"/>
        <v/>
      </c>
      <c r="BB74" s="49" t="str">
        <f t="shared" si="91"/>
        <v/>
      </c>
      <c r="BC74" s="49" t="str">
        <f t="shared" si="91"/>
        <v/>
      </c>
      <c r="BD74" s="49" t="str">
        <f t="shared" si="91"/>
        <v/>
      </c>
      <c r="BE74" s="49" t="str">
        <f t="shared" si="91"/>
        <v/>
      </c>
      <c r="BF74" s="49" t="str">
        <f t="shared" si="91"/>
        <v/>
      </c>
      <c r="BG74" s="49" t="str">
        <f t="shared" si="91"/>
        <v/>
      </c>
      <c r="BH74" s="49" t="str">
        <f t="shared" si="91"/>
        <v/>
      </c>
      <c r="BI74" s="49" t="str">
        <f t="shared" si="91"/>
        <v/>
      </c>
      <c r="BJ74" s="49" t="str">
        <f t="shared" si="91"/>
        <v/>
      </c>
      <c r="BK74" s="49" t="str">
        <f t="shared" si="91"/>
        <v/>
      </c>
      <c r="BL74" s="49" t="str">
        <f t="shared" si="91"/>
        <v/>
      </c>
      <c r="BM74" s="49" t="str">
        <f t="shared" si="91"/>
        <v/>
      </c>
      <c r="BN74" s="49" t="str">
        <f t="shared" si="91"/>
        <v/>
      </c>
      <c r="BO74" s="49" t="str">
        <f t="shared" si="91"/>
        <v/>
      </c>
      <c r="BP74" s="49" t="str">
        <f t="shared" si="91"/>
        <v/>
      </c>
      <c r="BQ74" s="49" t="str">
        <f t="shared" si="91"/>
        <v/>
      </c>
      <c r="BR74" s="49" t="str">
        <f t="shared" si="91"/>
        <v/>
      </c>
      <c r="BS74" s="49" t="str">
        <f t="shared" si="91"/>
        <v/>
      </c>
      <c r="BT74" s="49" t="str">
        <f t="shared" si="91"/>
        <v/>
      </c>
      <c r="BU74" s="49" t="str">
        <f t="shared" si="91"/>
        <v/>
      </c>
      <c r="BV74" s="49" t="str">
        <f t="shared" si="91"/>
        <v/>
      </c>
      <c r="BW74" s="49" t="str">
        <f t="shared" si="91"/>
        <v/>
      </c>
      <c r="BX74" s="49" t="str">
        <f t="shared" si="91"/>
        <v/>
      </c>
      <c r="BY74" s="49" t="str">
        <f t="shared" si="91"/>
        <v/>
      </c>
      <c r="BZ74" s="49" t="str">
        <f t="shared" si="91"/>
        <v/>
      </c>
      <c r="CA74" s="49" t="str">
        <f t="shared" si="91"/>
        <v/>
      </c>
      <c r="CB74" s="49" t="str">
        <f t="shared" si="91"/>
        <v/>
      </c>
      <c r="CC74" s="49" t="str">
        <f t="shared" si="91"/>
        <v/>
      </c>
      <c r="CD74" s="49" t="str">
        <f t="shared" si="91"/>
        <v/>
      </c>
      <c r="CE74" s="49" t="str">
        <f t="shared" si="91"/>
        <v/>
      </c>
      <c r="CF74" s="49" t="str">
        <f t="shared" si="91"/>
        <v/>
      </c>
      <c r="CG74" s="49" t="str">
        <f t="shared" si="91"/>
        <v/>
      </c>
      <c r="CH74" s="49" t="str">
        <f t="shared" si="91"/>
        <v/>
      </c>
      <c r="CI74" s="49" t="str">
        <f t="shared" si="91"/>
        <v/>
      </c>
      <c r="CJ74" s="49" t="str">
        <f t="shared" si="91"/>
        <v/>
      </c>
      <c r="CK74" s="49" t="str">
        <f t="shared" si="91"/>
        <v/>
      </c>
      <c r="CL74" s="49" t="str">
        <f t="shared" si="91"/>
        <v/>
      </c>
      <c r="CM74" s="49" t="str">
        <f t="shared" si="91"/>
        <v/>
      </c>
      <c r="CN74" s="49" t="str">
        <f t="shared" si="91"/>
        <v/>
      </c>
      <c r="CO74" s="49" t="str">
        <f t="shared" si="91"/>
        <v/>
      </c>
      <c r="CP74" s="49" t="str">
        <f t="shared" si="91"/>
        <v/>
      </c>
      <c r="CQ74" s="49" t="str">
        <f t="shared" si="91"/>
        <v/>
      </c>
      <c r="CR74" s="49" t="str">
        <f t="shared" si="91"/>
        <v/>
      </c>
      <c r="CS74" s="49" t="str">
        <f t="shared" si="91"/>
        <v/>
      </c>
      <c r="CT74" s="49" t="str">
        <f t="shared" si="91"/>
        <v/>
      </c>
      <c r="CU74" s="49" t="str">
        <f t="shared" si="91"/>
        <v/>
      </c>
      <c r="CV74" s="49" t="str">
        <f t="shared" si="91"/>
        <v/>
      </c>
      <c r="CW74" s="49" t="str">
        <f t="shared" si="91"/>
        <v/>
      </c>
      <c r="CX74" s="49" t="str">
        <f t="shared" si="91"/>
        <v/>
      </c>
      <c r="CY74" s="49" t="str">
        <f t="shared" si="91"/>
        <v/>
      </c>
      <c r="CZ74" s="49" t="str">
        <f t="shared" si="91"/>
        <v/>
      </c>
      <c r="DA74" s="49" t="str">
        <f t="shared" si="91"/>
        <v/>
      </c>
      <c r="DB74" s="49" t="str">
        <f t="shared" si="91"/>
        <v/>
      </c>
      <c r="DC74" s="49" t="str">
        <f t="shared" si="91"/>
        <v/>
      </c>
      <c r="DD74" s="49" t="str">
        <f t="shared" si="91"/>
        <v/>
      </c>
      <c r="DE74" s="49" t="str">
        <f t="shared" si="91"/>
        <v/>
      </c>
      <c r="DF74" s="49" t="str">
        <f t="shared" si="91"/>
        <v/>
      </c>
      <c r="DG74" s="49" t="str">
        <f t="shared" si="91"/>
        <v/>
      </c>
      <c r="DH74" s="49" t="str">
        <f t="shared" si="91"/>
        <v/>
      </c>
      <c r="DI74" s="49" t="str">
        <f t="shared" si="91"/>
        <v/>
      </c>
      <c r="DJ74" s="49" t="str">
        <f t="shared" si="91"/>
        <v/>
      </c>
    </row>
    <row r="75" spans="1:114" ht="15.75" customHeight="1" x14ac:dyDescent="0.55000000000000004">
      <c r="A75" s="41" t="e">
        <f>MASANIELLO!#REF!</f>
        <v>#REF!</v>
      </c>
      <c r="B75" s="41" t="e">
        <f t="shared" si="2"/>
        <v>#VALUE!</v>
      </c>
      <c r="C75" s="42" t="e">
        <f t="shared" si="3"/>
        <v>#VALUE!</v>
      </c>
      <c r="D75" s="42" t="e">
        <f t="shared" si="4"/>
        <v>#VALUE!</v>
      </c>
      <c r="E75" s="42" t="e">
        <f t="shared" si="5"/>
        <v>#VALUE!</v>
      </c>
      <c r="F75" s="42" t="e">
        <f t="shared" si="6"/>
        <v>#VALUE!</v>
      </c>
      <c r="G75" s="50" t="e">
        <f t="shared" si="7"/>
        <v>#VALUE!</v>
      </c>
      <c r="H75" s="41" t="e">
        <f t="shared" si="8"/>
        <v>#VALUE!</v>
      </c>
      <c r="I75" s="41" t="e">
        <f t="shared" si="9"/>
        <v>#VALUE!</v>
      </c>
      <c r="J75" s="45" t="e">
        <f t="shared" si="10"/>
        <v>#VALUE!</v>
      </c>
      <c r="M75" s="48" t="b">
        <f t="shared" si="11"/>
        <v>0</v>
      </c>
      <c r="N75" s="49" t="e">
        <f t="shared" ref="N75:DJ75" si="92">IF(N$1&gt;$L$2,   "",   IF(N$1=$L$2,  1,  IF($L$2-N$1=$L$1-$M75, $L$3^($L$1-$M75), ($L$3*N76*O76/(N76+($L$3-1)*O76) ))))</f>
        <v>#DIV/0!</v>
      </c>
      <c r="O75" s="49" t="e">
        <f t="shared" si="92"/>
        <v>#DIV/0!</v>
      </c>
      <c r="P75" s="49" t="e">
        <f t="shared" si="92"/>
        <v>#DIV/0!</v>
      </c>
      <c r="Q75" s="49" t="e">
        <f t="shared" si="92"/>
        <v>#DIV/0!</v>
      </c>
      <c r="R75" s="49">
        <f t="shared" si="92"/>
        <v>1</v>
      </c>
      <c r="S75" s="49" t="str">
        <f t="shared" si="92"/>
        <v/>
      </c>
      <c r="T75" s="49" t="str">
        <f t="shared" si="92"/>
        <v/>
      </c>
      <c r="U75" s="49" t="str">
        <f t="shared" si="92"/>
        <v/>
      </c>
      <c r="V75" s="49" t="str">
        <f t="shared" si="92"/>
        <v/>
      </c>
      <c r="W75" s="49" t="str">
        <f t="shared" si="92"/>
        <v/>
      </c>
      <c r="X75" s="49" t="str">
        <f t="shared" si="92"/>
        <v/>
      </c>
      <c r="Y75" s="49" t="str">
        <f t="shared" si="92"/>
        <v/>
      </c>
      <c r="Z75" s="49" t="str">
        <f t="shared" si="92"/>
        <v/>
      </c>
      <c r="AA75" s="49" t="str">
        <f t="shared" si="92"/>
        <v/>
      </c>
      <c r="AB75" s="49" t="str">
        <f t="shared" si="92"/>
        <v/>
      </c>
      <c r="AC75" s="49" t="str">
        <f t="shared" si="92"/>
        <v/>
      </c>
      <c r="AD75" s="49" t="str">
        <f t="shared" si="92"/>
        <v/>
      </c>
      <c r="AE75" s="49" t="str">
        <f t="shared" si="92"/>
        <v/>
      </c>
      <c r="AF75" s="49" t="str">
        <f t="shared" si="92"/>
        <v/>
      </c>
      <c r="AG75" s="49" t="str">
        <f t="shared" si="92"/>
        <v/>
      </c>
      <c r="AH75" s="49" t="str">
        <f t="shared" si="92"/>
        <v/>
      </c>
      <c r="AI75" s="49" t="str">
        <f t="shared" si="92"/>
        <v/>
      </c>
      <c r="AJ75" s="49" t="str">
        <f t="shared" si="92"/>
        <v/>
      </c>
      <c r="AK75" s="49" t="str">
        <f t="shared" si="92"/>
        <v/>
      </c>
      <c r="AL75" s="49" t="str">
        <f t="shared" si="92"/>
        <v/>
      </c>
      <c r="AM75" s="49" t="str">
        <f t="shared" si="92"/>
        <v/>
      </c>
      <c r="AN75" s="49" t="str">
        <f t="shared" si="92"/>
        <v/>
      </c>
      <c r="AO75" s="49" t="str">
        <f t="shared" si="92"/>
        <v/>
      </c>
      <c r="AP75" s="49" t="str">
        <f t="shared" si="92"/>
        <v/>
      </c>
      <c r="AQ75" s="49" t="str">
        <f t="shared" si="92"/>
        <v/>
      </c>
      <c r="AR75" s="49" t="str">
        <f t="shared" si="92"/>
        <v/>
      </c>
      <c r="AS75" s="49" t="str">
        <f t="shared" si="92"/>
        <v/>
      </c>
      <c r="AT75" s="49" t="str">
        <f t="shared" si="92"/>
        <v/>
      </c>
      <c r="AU75" s="49" t="str">
        <f t="shared" si="92"/>
        <v/>
      </c>
      <c r="AV75" s="49" t="str">
        <f t="shared" si="92"/>
        <v/>
      </c>
      <c r="AW75" s="49" t="str">
        <f t="shared" si="92"/>
        <v/>
      </c>
      <c r="AX75" s="49" t="str">
        <f t="shared" si="92"/>
        <v/>
      </c>
      <c r="AY75" s="49" t="str">
        <f t="shared" si="92"/>
        <v/>
      </c>
      <c r="AZ75" s="49" t="str">
        <f t="shared" si="92"/>
        <v/>
      </c>
      <c r="BA75" s="49" t="str">
        <f t="shared" si="92"/>
        <v/>
      </c>
      <c r="BB75" s="49" t="str">
        <f t="shared" si="92"/>
        <v/>
      </c>
      <c r="BC75" s="49" t="str">
        <f t="shared" si="92"/>
        <v/>
      </c>
      <c r="BD75" s="49" t="str">
        <f t="shared" si="92"/>
        <v/>
      </c>
      <c r="BE75" s="49" t="str">
        <f t="shared" si="92"/>
        <v/>
      </c>
      <c r="BF75" s="49" t="str">
        <f t="shared" si="92"/>
        <v/>
      </c>
      <c r="BG75" s="49" t="str">
        <f t="shared" si="92"/>
        <v/>
      </c>
      <c r="BH75" s="49" t="str">
        <f t="shared" si="92"/>
        <v/>
      </c>
      <c r="BI75" s="49" t="str">
        <f t="shared" si="92"/>
        <v/>
      </c>
      <c r="BJ75" s="49" t="str">
        <f t="shared" si="92"/>
        <v/>
      </c>
      <c r="BK75" s="49" t="str">
        <f t="shared" si="92"/>
        <v/>
      </c>
      <c r="BL75" s="49" t="str">
        <f t="shared" si="92"/>
        <v/>
      </c>
      <c r="BM75" s="49" t="str">
        <f t="shared" si="92"/>
        <v/>
      </c>
      <c r="BN75" s="49" t="str">
        <f t="shared" si="92"/>
        <v/>
      </c>
      <c r="BO75" s="49" t="str">
        <f t="shared" si="92"/>
        <v/>
      </c>
      <c r="BP75" s="49" t="str">
        <f t="shared" si="92"/>
        <v/>
      </c>
      <c r="BQ75" s="49" t="str">
        <f t="shared" si="92"/>
        <v/>
      </c>
      <c r="BR75" s="49" t="str">
        <f t="shared" si="92"/>
        <v/>
      </c>
      <c r="BS75" s="49" t="str">
        <f t="shared" si="92"/>
        <v/>
      </c>
      <c r="BT75" s="49" t="str">
        <f t="shared" si="92"/>
        <v/>
      </c>
      <c r="BU75" s="49" t="str">
        <f t="shared" si="92"/>
        <v/>
      </c>
      <c r="BV75" s="49" t="str">
        <f t="shared" si="92"/>
        <v/>
      </c>
      <c r="BW75" s="49" t="str">
        <f t="shared" si="92"/>
        <v/>
      </c>
      <c r="BX75" s="49" t="str">
        <f t="shared" si="92"/>
        <v/>
      </c>
      <c r="BY75" s="49" t="str">
        <f t="shared" si="92"/>
        <v/>
      </c>
      <c r="BZ75" s="49" t="str">
        <f t="shared" si="92"/>
        <v/>
      </c>
      <c r="CA75" s="49" t="str">
        <f t="shared" si="92"/>
        <v/>
      </c>
      <c r="CB75" s="49" t="str">
        <f t="shared" si="92"/>
        <v/>
      </c>
      <c r="CC75" s="49" t="str">
        <f t="shared" si="92"/>
        <v/>
      </c>
      <c r="CD75" s="49" t="str">
        <f t="shared" si="92"/>
        <v/>
      </c>
      <c r="CE75" s="49" t="str">
        <f t="shared" si="92"/>
        <v/>
      </c>
      <c r="CF75" s="49" t="str">
        <f t="shared" si="92"/>
        <v/>
      </c>
      <c r="CG75" s="49" t="str">
        <f t="shared" si="92"/>
        <v/>
      </c>
      <c r="CH75" s="49" t="str">
        <f t="shared" si="92"/>
        <v/>
      </c>
      <c r="CI75" s="49" t="str">
        <f t="shared" si="92"/>
        <v/>
      </c>
      <c r="CJ75" s="49" t="str">
        <f t="shared" si="92"/>
        <v/>
      </c>
      <c r="CK75" s="49" t="str">
        <f t="shared" si="92"/>
        <v/>
      </c>
      <c r="CL75" s="49" t="str">
        <f t="shared" si="92"/>
        <v/>
      </c>
      <c r="CM75" s="49" t="str">
        <f t="shared" si="92"/>
        <v/>
      </c>
      <c r="CN75" s="49" t="str">
        <f t="shared" si="92"/>
        <v/>
      </c>
      <c r="CO75" s="49" t="str">
        <f t="shared" si="92"/>
        <v/>
      </c>
      <c r="CP75" s="49" t="str">
        <f t="shared" si="92"/>
        <v/>
      </c>
      <c r="CQ75" s="49" t="str">
        <f t="shared" si="92"/>
        <v/>
      </c>
      <c r="CR75" s="49" t="str">
        <f t="shared" si="92"/>
        <v/>
      </c>
      <c r="CS75" s="49" t="str">
        <f t="shared" si="92"/>
        <v/>
      </c>
      <c r="CT75" s="49" t="str">
        <f t="shared" si="92"/>
        <v/>
      </c>
      <c r="CU75" s="49" t="str">
        <f t="shared" si="92"/>
        <v/>
      </c>
      <c r="CV75" s="49" t="str">
        <f t="shared" si="92"/>
        <v/>
      </c>
      <c r="CW75" s="49" t="str">
        <f t="shared" si="92"/>
        <v/>
      </c>
      <c r="CX75" s="49" t="str">
        <f t="shared" si="92"/>
        <v/>
      </c>
      <c r="CY75" s="49" t="str">
        <f t="shared" si="92"/>
        <v/>
      </c>
      <c r="CZ75" s="49" t="str">
        <f t="shared" si="92"/>
        <v/>
      </c>
      <c r="DA75" s="49" t="str">
        <f t="shared" si="92"/>
        <v/>
      </c>
      <c r="DB75" s="49" t="str">
        <f t="shared" si="92"/>
        <v/>
      </c>
      <c r="DC75" s="49" t="str">
        <f t="shared" si="92"/>
        <v/>
      </c>
      <c r="DD75" s="49" t="str">
        <f t="shared" si="92"/>
        <v/>
      </c>
      <c r="DE75" s="49" t="str">
        <f t="shared" si="92"/>
        <v/>
      </c>
      <c r="DF75" s="49" t="str">
        <f t="shared" si="92"/>
        <v/>
      </c>
      <c r="DG75" s="49" t="str">
        <f t="shared" si="92"/>
        <v/>
      </c>
      <c r="DH75" s="49" t="str">
        <f t="shared" si="92"/>
        <v/>
      </c>
      <c r="DI75" s="49" t="str">
        <f t="shared" si="92"/>
        <v/>
      </c>
      <c r="DJ75" s="49" t="str">
        <f t="shared" si="92"/>
        <v/>
      </c>
    </row>
    <row r="76" spans="1:114" ht="15.75" customHeight="1" x14ac:dyDescent="0.55000000000000004">
      <c r="A76" s="41" t="e">
        <f>MASANIELLO!#REF!</f>
        <v>#REF!</v>
      </c>
      <c r="B76" s="41" t="e">
        <f t="shared" si="2"/>
        <v>#VALUE!</v>
      </c>
      <c r="C76" s="42" t="e">
        <f t="shared" si="3"/>
        <v>#VALUE!</v>
      </c>
      <c r="D76" s="42" t="e">
        <f t="shared" si="4"/>
        <v>#VALUE!</v>
      </c>
      <c r="E76" s="42" t="e">
        <f t="shared" si="5"/>
        <v>#VALUE!</v>
      </c>
      <c r="F76" s="42" t="e">
        <f t="shared" si="6"/>
        <v>#VALUE!</v>
      </c>
      <c r="G76" s="50" t="e">
        <f t="shared" si="7"/>
        <v>#VALUE!</v>
      </c>
      <c r="H76" s="41" t="e">
        <f t="shared" si="8"/>
        <v>#VALUE!</v>
      </c>
      <c r="I76" s="41" t="e">
        <f t="shared" si="9"/>
        <v>#VALUE!</v>
      </c>
      <c r="J76" s="45" t="e">
        <f t="shared" si="10"/>
        <v>#VALUE!</v>
      </c>
      <c r="M76" s="48" t="b">
        <f t="shared" si="11"/>
        <v>0</v>
      </c>
      <c r="N76" s="49" t="e">
        <f t="shared" ref="N76:DJ76" si="93">IF(N$1&gt;$L$2,   "",   IF(N$1=$L$2,  1,  IF($L$2-N$1=$L$1-$M76, $L$3^($L$1-$M76), ($L$3*N77*O77/(N77+($L$3-1)*O77) ))))</f>
        <v>#DIV/0!</v>
      </c>
      <c r="O76" s="49" t="e">
        <f t="shared" si="93"/>
        <v>#DIV/0!</v>
      </c>
      <c r="P76" s="49" t="e">
        <f t="shared" si="93"/>
        <v>#DIV/0!</v>
      </c>
      <c r="Q76" s="49" t="e">
        <f t="shared" si="93"/>
        <v>#DIV/0!</v>
      </c>
      <c r="R76" s="49">
        <f t="shared" si="93"/>
        <v>1</v>
      </c>
      <c r="S76" s="49" t="str">
        <f t="shared" si="93"/>
        <v/>
      </c>
      <c r="T76" s="49" t="str">
        <f t="shared" si="93"/>
        <v/>
      </c>
      <c r="U76" s="49" t="str">
        <f t="shared" si="93"/>
        <v/>
      </c>
      <c r="V76" s="49" t="str">
        <f t="shared" si="93"/>
        <v/>
      </c>
      <c r="W76" s="49" t="str">
        <f t="shared" si="93"/>
        <v/>
      </c>
      <c r="X76" s="49" t="str">
        <f t="shared" si="93"/>
        <v/>
      </c>
      <c r="Y76" s="49" t="str">
        <f t="shared" si="93"/>
        <v/>
      </c>
      <c r="Z76" s="49" t="str">
        <f t="shared" si="93"/>
        <v/>
      </c>
      <c r="AA76" s="49" t="str">
        <f t="shared" si="93"/>
        <v/>
      </c>
      <c r="AB76" s="49" t="str">
        <f t="shared" si="93"/>
        <v/>
      </c>
      <c r="AC76" s="49" t="str">
        <f t="shared" si="93"/>
        <v/>
      </c>
      <c r="AD76" s="49" t="str">
        <f t="shared" si="93"/>
        <v/>
      </c>
      <c r="AE76" s="49" t="str">
        <f t="shared" si="93"/>
        <v/>
      </c>
      <c r="AF76" s="49" t="str">
        <f t="shared" si="93"/>
        <v/>
      </c>
      <c r="AG76" s="49" t="str">
        <f t="shared" si="93"/>
        <v/>
      </c>
      <c r="AH76" s="49" t="str">
        <f t="shared" si="93"/>
        <v/>
      </c>
      <c r="AI76" s="49" t="str">
        <f t="shared" si="93"/>
        <v/>
      </c>
      <c r="AJ76" s="49" t="str">
        <f t="shared" si="93"/>
        <v/>
      </c>
      <c r="AK76" s="49" t="str">
        <f t="shared" si="93"/>
        <v/>
      </c>
      <c r="AL76" s="49" t="str">
        <f t="shared" si="93"/>
        <v/>
      </c>
      <c r="AM76" s="49" t="str">
        <f t="shared" si="93"/>
        <v/>
      </c>
      <c r="AN76" s="49" t="str">
        <f t="shared" si="93"/>
        <v/>
      </c>
      <c r="AO76" s="49" t="str">
        <f t="shared" si="93"/>
        <v/>
      </c>
      <c r="AP76" s="49" t="str">
        <f t="shared" si="93"/>
        <v/>
      </c>
      <c r="AQ76" s="49" t="str">
        <f t="shared" si="93"/>
        <v/>
      </c>
      <c r="AR76" s="49" t="str">
        <f t="shared" si="93"/>
        <v/>
      </c>
      <c r="AS76" s="49" t="str">
        <f t="shared" si="93"/>
        <v/>
      </c>
      <c r="AT76" s="49" t="str">
        <f t="shared" si="93"/>
        <v/>
      </c>
      <c r="AU76" s="49" t="str">
        <f t="shared" si="93"/>
        <v/>
      </c>
      <c r="AV76" s="49" t="str">
        <f t="shared" si="93"/>
        <v/>
      </c>
      <c r="AW76" s="49" t="str">
        <f t="shared" si="93"/>
        <v/>
      </c>
      <c r="AX76" s="49" t="str">
        <f t="shared" si="93"/>
        <v/>
      </c>
      <c r="AY76" s="49" t="str">
        <f t="shared" si="93"/>
        <v/>
      </c>
      <c r="AZ76" s="49" t="str">
        <f t="shared" si="93"/>
        <v/>
      </c>
      <c r="BA76" s="49" t="str">
        <f t="shared" si="93"/>
        <v/>
      </c>
      <c r="BB76" s="49" t="str">
        <f t="shared" si="93"/>
        <v/>
      </c>
      <c r="BC76" s="49" t="str">
        <f t="shared" si="93"/>
        <v/>
      </c>
      <c r="BD76" s="49" t="str">
        <f t="shared" si="93"/>
        <v/>
      </c>
      <c r="BE76" s="49" t="str">
        <f t="shared" si="93"/>
        <v/>
      </c>
      <c r="BF76" s="49" t="str">
        <f t="shared" si="93"/>
        <v/>
      </c>
      <c r="BG76" s="49" t="str">
        <f t="shared" si="93"/>
        <v/>
      </c>
      <c r="BH76" s="49" t="str">
        <f t="shared" si="93"/>
        <v/>
      </c>
      <c r="BI76" s="49" t="str">
        <f t="shared" si="93"/>
        <v/>
      </c>
      <c r="BJ76" s="49" t="str">
        <f t="shared" si="93"/>
        <v/>
      </c>
      <c r="BK76" s="49" t="str">
        <f t="shared" si="93"/>
        <v/>
      </c>
      <c r="BL76" s="49" t="str">
        <f t="shared" si="93"/>
        <v/>
      </c>
      <c r="BM76" s="49" t="str">
        <f t="shared" si="93"/>
        <v/>
      </c>
      <c r="BN76" s="49" t="str">
        <f t="shared" si="93"/>
        <v/>
      </c>
      <c r="BO76" s="49" t="str">
        <f t="shared" si="93"/>
        <v/>
      </c>
      <c r="BP76" s="49" t="str">
        <f t="shared" si="93"/>
        <v/>
      </c>
      <c r="BQ76" s="49" t="str">
        <f t="shared" si="93"/>
        <v/>
      </c>
      <c r="BR76" s="49" t="str">
        <f t="shared" si="93"/>
        <v/>
      </c>
      <c r="BS76" s="49" t="str">
        <f t="shared" si="93"/>
        <v/>
      </c>
      <c r="BT76" s="49" t="str">
        <f t="shared" si="93"/>
        <v/>
      </c>
      <c r="BU76" s="49" t="str">
        <f t="shared" si="93"/>
        <v/>
      </c>
      <c r="BV76" s="49" t="str">
        <f t="shared" si="93"/>
        <v/>
      </c>
      <c r="BW76" s="49" t="str">
        <f t="shared" si="93"/>
        <v/>
      </c>
      <c r="BX76" s="49" t="str">
        <f t="shared" si="93"/>
        <v/>
      </c>
      <c r="BY76" s="49" t="str">
        <f t="shared" si="93"/>
        <v/>
      </c>
      <c r="BZ76" s="49" t="str">
        <f t="shared" si="93"/>
        <v/>
      </c>
      <c r="CA76" s="49" t="str">
        <f t="shared" si="93"/>
        <v/>
      </c>
      <c r="CB76" s="49" t="str">
        <f t="shared" si="93"/>
        <v/>
      </c>
      <c r="CC76" s="49" t="str">
        <f t="shared" si="93"/>
        <v/>
      </c>
      <c r="CD76" s="49" t="str">
        <f t="shared" si="93"/>
        <v/>
      </c>
      <c r="CE76" s="49" t="str">
        <f t="shared" si="93"/>
        <v/>
      </c>
      <c r="CF76" s="49" t="str">
        <f t="shared" si="93"/>
        <v/>
      </c>
      <c r="CG76" s="49" t="str">
        <f t="shared" si="93"/>
        <v/>
      </c>
      <c r="CH76" s="49" t="str">
        <f t="shared" si="93"/>
        <v/>
      </c>
      <c r="CI76" s="49" t="str">
        <f t="shared" si="93"/>
        <v/>
      </c>
      <c r="CJ76" s="49" t="str">
        <f t="shared" si="93"/>
        <v/>
      </c>
      <c r="CK76" s="49" t="str">
        <f t="shared" si="93"/>
        <v/>
      </c>
      <c r="CL76" s="49" t="str">
        <f t="shared" si="93"/>
        <v/>
      </c>
      <c r="CM76" s="49" t="str">
        <f t="shared" si="93"/>
        <v/>
      </c>
      <c r="CN76" s="49" t="str">
        <f t="shared" si="93"/>
        <v/>
      </c>
      <c r="CO76" s="49" t="str">
        <f t="shared" si="93"/>
        <v/>
      </c>
      <c r="CP76" s="49" t="str">
        <f t="shared" si="93"/>
        <v/>
      </c>
      <c r="CQ76" s="49" t="str">
        <f t="shared" si="93"/>
        <v/>
      </c>
      <c r="CR76" s="49" t="str">
        <f t="shared" si="93"/>
        <v/>
      </c>
      <c r="CS76" s="49" t="str">
        <f t="shared" si="93"/>
        <v/>
      </c>
      <c r="CT76" s="49" t="str">
        <f t="shared" si="93"/>
        <v/>
      </c>
      <c r="CU76" s="49" t="str">
        <f t="shared" si="93"/>
        <v/>
      </c>
      <c r="CV76" s="49" t="str">
        <f t="shared" si="93"/>
        <v/>
      </c>
      <c r="CW76" s="49" t="str">
        <f t="shared" si="93"/>
        <v/>
      </c>
      <c r="CX76" s="49" t="str">
        <f t="shared" si="93"/>
        <v/>
      </c>
      <c r="CY76" s="49" t="str">
        <f t="shared" si="93"/>
        <v/>
      </c>
      <c r="CZ76" s="49" t="str">
        <f t="shared" si="93"/>
        <v/>
      </c>
      <c r="DA76" s="49" t="str">
        <f t="shared" si="93"/>
        <v/>
      </c>
      <c r="DB76" s="49" t="str">
        <f t="shared" si="93"/>
        <v/>
      </c>
      <c r="DC76" s="49" t="str">
        <f t="shared" si="93"/>
        <v/>
      </c>
      <c r="DD76" s="49" t="str">
        <f t="shared" si="93"/>
        <v/>
      </c>
      <c r="DE76" s="49" t="str">
        <f t="shared" si="93"/>
        <v/>
      </c>
      <c r="DF76" s="49" t="str">
        <f t="shared" si="93"/>
        <v/>
      </c>
      <c r="DG76" s="49" t="str">
        <f t="shared" si="93"/>
        <v/>
      </c>
      <c r="DH76" s="49" t="str">
        <f t="shared" si="93"/>
        <v/>
      </c>
      <c r="DI76" s="49" t="str">
        <f t="shared" si="93"/>
        <v/>
      </c>
      <c r="DJ76" s="49" t="str">
        <f t="shared" si="93"/>
        <v/>
      </c>
    </row>
    <row r="77" spans="1:114" ht="15.75" customHeight="1" x14ac:dyDescent="0.55000000000000004">
      <c r="A77" s="41" t="e">
        <f>MASANIELLO!#REF!</f>
        <v>#REF!</v>
      </c>
      <c r="B77" s="41" t="e">
        <f t="shared" si="2"/>
        <v>#VALUE!</v>
      </c>
      <c r="C77" s="42" t="e">
        <f t="shared" si="3"/>
        <v>#VALUE!</v>
      </c>
      <c r="D77" s="42" t="e">
        <f t="shared" si="4"/>
        <v>#VALUE!</v>
      </c>
      <c r="E77" s="42" t="e">
        <f t="shared" si="5"/>
        <v>#VALUE!</v>
      </c>
      <c r="F77" s="42" t="e">
        <f t="shared" si="6"/>
        <v>#VALUE!</v>
      </c>
      <c r="G77" s="50" t="e">
        <f t="shared" si="7"/>
        <v>#VALUE!</v>
      </c>
      <c r="H77" s="41" t="e">
        <f t="shared" si="8"/>
        <v>#VALUE!</v>
      </c>
      <c r="I77" s="41" t="e">
        <f t="shared" si="9"/>
        <v>#VALUE!</v>
      </c>
      <c r="J77" s="45" t="e">
        <f t="shared" si="10"/>
        <v>#VALUE!</v>
      </c>
      <c r="M77" s="48" t="b">
        <f t="shared" si="11"/>
        <v>0</v>
      </c>
      <c r="N77" s="49" t="e">
        <f t="shared" ref="N77:DJ77" si="94">IF(N$1&gt;$L$2,   "",   IF(N$1=$L$2,  1,  IF($L$2-N$1=$L$1-$M77, $L$3^($L$1-$M77), ($L$3*N78*O78/(N78+($L$3-1)*O78) ))))</f>
        <v>#DIV/0!</v>
      </c>
      <c r="O77" s="49" t="e">
        <f t="shared" si="94"/>
        <v>#DIV/0!</v>
      </c>
      <c r="P77" s="49" t="e">
        <f t="shared" si="94"/>
        <v>#DIV/0!</v>
      </c>
      <c r="Q77" s="49" t="e">
        <f t="shared" si="94"/>
        <v>#DIV/0!</v>
      </c>
      <c r="R77" s="49">
        <f t="shared" si="94"/>
        <v>1</v>
      </c>
      <c r="S77" s="49" t="str">
        <f t="shared" si="94"/>
        <v/>
      </c>
      <c r="T77" s="49" t="str">
        <f t="shared" si="94"/>
        <v/>
      </c>
      <c r="U77" s="49" t="str">
        <f t="shared" si="94"/>
        <v/>
      </c>
      <c r="V77" s="49" t="str">
        <f t="shared" si="94"/>
        <v/>
      </c>
      <c r="W77" s="49" t="str">
        <f t="shared" si="94"/>
        <v/>
      </c>
      <c r="X77" s="49" t="str">
        <f t="shared" si="94"/>
        <v/>
      </c>
      <c r="Y77" s="49" t="str">
        <f t="shared" si="94"/>
        <v/>
      </c>
      <c r="Z77" s="49" t="str">
        <f t="shared" si="94"/>
        <v/>
      </c>
      <c r="AA77" s="49" t="str">
        <f t="shared" si="94"/>
        <v/>
      </c>
      <c r="AB77" s="49" t="str">
        <f t="shared" si="94"/>
        <v/>
      </c>
      <c r="AC77" s="49" t="str">
        <f t="shared" si="94"/>
        <v/>
      </c>
      <c r="AD77" s="49" t="str">
        <f t="shared" si="94"/>
        <v/>
      </c>
      <c r="AE77" s="49" t="str">
        <f t="shared" si="94"/>
        <v/>
      </c>
      <c r="AF77" s="49" t="str">
        <f t="shared" si="94"/>
        <v/>
      </c>
      <c r="AG77" s="49" t="str">
        <f t="shared" si="94"/>
        <v/>
      </c>
      <c r="AH77" s="49" t="str">
        <f t="shared" si="94"/>
        <v/>
      </c>
      <c r="AI77" s="49" t="str">
        <f t="shared" si="94"/>
        <v/>
      </c>
      <c r="AJ77" s="49" t="str">
        <f t="shared" si="94"/>
        <v/>
      </c>
      <c r="AK77" s="49" t="str">
        <f t="shared" si="94"/>
        <v/>
      </c>
      <c r="AL77" s="49" t="str">
        <f t="shared" si="94"/>
        <v/>
      </c>
      <c r="AM77" s="49" t="str">
        <f t="shared" si="94"/>
        <v/>
      </c>
      <c r="AN77" s="49" t="str">
        <f t="shared" si="94"/>
        <v/>
      </c>
      <c r="AO77" s="49" t="str">
        <f t="shared" si="94"/>
        <v/>
      </c>
      <c r="AP77" s="49" t="str">
        <f t="shared" si="94"/>
        <v/>
      </c>
      <c r="AQ77" s="49" t="str">
        <f t="shared" si="94"/>
        <v/>
      </c>
      <c r="AR77" s="49" t="str">
        <f t="shared" si="94"/>
        <v/>
      </c>
      <c r="AS77" s="49" t="str">
        <f t="shared" si="94"/>
        <v/>
      </c>
      <c r="AT77" s="49" t="str">
        <f t="shared" si="94"/>
        <v/>
      </c>
      <c r="AU77" s="49" t="str">
        <f t="shared" si="94"/>
        <v/>
      </c>
      <c r="AV77" s="49" t="str">
        <f t="shared" si="94"/>
        <v/>
      </c>
      <c r="AW77" s="49" t="str">
        <f t="shared" si="94"/>
        <v/>
      </c>
      <c r="AX77" s="49" t="str">
        <f t="shared" si="94"/>
        <v/>
      </c>
      <c r="AY77" s="49" t="str">
        <f t="shared" si="94"/>
        <v/>
      </c>
      <c r="AZ77" s="49" t="str">
        <f t="shared" si="94"/>
        <v/>
      </c>
      <c r="BA77" s="49" t="str">
        <f t="shared" si="94"/>
        <v/>
      </c>
      <c r="BB77" s="49" t="str">
        <f t="shared" si="94"/>
        <v/>
      </c>
      <c r="BC77" s="49" t="str">
        <f t="shared" si="94"/>
        <v/>
      </c>
      <c r="BD77" s="49" t="str">
        <f t="shared" si="94"/>
        <v/>
      </c>
      <c r="BE77" s="49" t="str">
        <f t="shared" si="94"/>
        <v/>
      </c>
      <c r="BF77" s="49" t="str">
        <f t="shared" si="94"/>
        <v/>
      </c>
      <c r="BG77" s="49" t="str">
        <f t="shared" si="94"/>
        <v/>
      </c>
      <c r="BH77" s="49" t="str">
        <f t="shared" si="94"/>
        <v/>
      </c>
      <c r="BI77" s="49" t="str">
        <f t="shared" si="94"/>
        <v/>
      </c>
      <c r="BJ77" s="49" t="str">
        <f t="shared" si="94"/>
        <v/>
      </c>
      <c r="BK77" s="49" t="str">
        <f t="shared" si="94"/>
        <v/>
      </c>
      <c r="BL77" s="49" t="str">
        <f t="shared" si="94"/>
        <v/>
      </c>
      <c r="BM77" s="49" t="str">
        <f t="shared" si="94"/>
        <v/>
      </c>
      <c r="BN77" s="49" t="str">
        <f t="shared" si="94"/>
        <v/>
      </c>
      <c r="BO77" s="49" t="str">
        <f t="shared" si="94"/>
        <v/>
      </c>
      <c r="BP77" s="49" t="str">
        <f t="shared" si="94"/>
        <v/>
      </c>
      <c r="BQ77" s="49" t="str">
        <f t="shared" si="94"/>
        <v/>
      </c>
      <c r="BR77" s="49" t="str">
        <f t="shared" si="94"/>
        <v/>
      </c>
      <c r="BS77" s="49" t="str">
        <f t="shared" si="94"/>
        <v/>
      </c>
      <c r="BT77" s="49" t="str">
        <f t="shared" si="94"/>
        <v/>
      </c>
      <c r="BU77" s="49" t="str">
        <f t="shared" si="94"/>
        <v/>
      </c>
      <c r="BV77" s="49" t="str">
        <f t="shared" si="94"/>
        <v/>
      </c>
      <c r="BW77" s="49" t="str">
        <f t="shared" si="94"/>
        <v/>
      </c>
      <c r="BX77" s="49" t="str">
        <f t="shared" si="94"/>
        <v/>
      </c>
      <c r="BY77" s="49" t="str">
        <f t="shared" si="94"/>
        <v/>
      </c>
      <c r="BZ77" s="49" t="str">
        <f t="shared" si="94"/>
        <v/>
      </c>
      <c r="CA77" s="49" t="str">
        <f t="shared" si="94"/>
        <v/>
      </c>
      <c r="CB77" s="49" t="str">
        <f t="shared" si="94"/>
        <v/>
      </c>
      <c r="CC77" s="49" t="str">
        <f t="shared" si="94"/>
        <v/>
      </c>
      <c r="CD77" s="49" t="str">
        <f t="shared" si="94"/>
        <v/>
      </c>
      <c r="CE77" s="49" t="str">
        <f t="shared" si="94"/>
        <v/>
      </c>
      <c r="CF77" s="49" t="str">
        <f t="shared" si="94"/>
        <v/>
      </c>
      <c r="CG77" s="49" t="str">
        <f t="shared" si="94"/>
        <v/>
      </c>
      <c r="CH77" s="49" t="str">
        <f t="shared" si="94"/>
        <v/>
      </c>
      <c r="CI77" s="49" t="str">
        <f t="shared" si="94"/>
        <v/>
      </c>
      <c r="CJ77" s="49" t="str">
        <f t="shared" si="94"/>
        <v/>
      </c>
      <c r="CK77" s="49" t="str">
        <f t="shared" si="94"/>
        <v/>
      </c>
      <c r="CL77" s="49" t="str">
        <f t="shared" si="94"/>
        <v/>
      </c>
      <c r="CM77" s="49" t="str">
        <f t="shared" si="94"/>
        <v/>
      </c>
      <c r="CN77" s="49" t="str">
        <f t="shared" si="94"/>
        <v/>
      </c>
      <c r="CO77" s="49" t="str">
        <f t="shared" si="94"/>
        <v/>
      </c>
      <c r="CP77" s="49" t="str">
        <f t="shared" si="94"/>
        <v/>
      </c>
      <c r="CQ77" s="49" t="str">
        <f t="shared" si="94"/>
        <v/>
      </c>
      <c r="CR77" s="49" t="str">
        <f t="shared" si="94"/>
        <v/>
      </c>
      <c r="CS77" s="49" t="str">
        <f t="shared" si="94"/>
        <v/>
      </c>
      <c r="CT77" s="49" t="str">
        <f t="shared" si="94"/>
        <v/>
      </c>
      <c r="CU77" s="49" t="str">
        <f t="shared" si="94"/>
        <v/>
      </c>
      <c r="CV77" s="49" t="str">
        <f t="shared" si="94"/>
        <v/>
      </c>
      <c r="CW77" s="49" t="str">
        <f t="shared" si="94"/>
        <v/>
      </c>
      <c r="CX77" s="49" t="str">
        <f t="shared" si="94"/>
        <v/>
      </c>
      <c r="CY77" s="49" t="str">
        <f t="shared" si="94"/>
        <v/>
      </c>
      <c r="CZ77" s="49" t="str">
        <f t="shared" si="94"/>
        <v/>
      </c>
      <c r="DA77" s="49" t="str">
        <f t="shared" si="94"/>
        <v/>
      </c>
      <c r="DB77" s="49" t="str">
        <f t="shared" si="94"/>
        <v/>
      </c>
      <c r="DC77" s="49" t="str">
        <f t="shared" si="94"/>
        <v/>
      </c>
      <c r="DD77" s="49" t="str">
        <f t="shared" si="94"/>
        <v/>
      </c>
      <c r="DE77" s="49" t="str">
        <f t="shared" si="94"/>
        <v/>
      </c>
      <c r="DF77" s="49" t="str">
        <f t="shared" si="94"/>
        <v/>
      </c>
      <c r="DG77" s="49" t="str">
        <f t="shared" si="94"/>
        <v/>
      </c>
      <c r="DH77" s="49" t="str">
        <f t="shared" si="94"/>
        <v/>
      </c>
      <c r="DI77" s="49" t="str">
        <f t="shared" si="94"/>
        <v/>
      </c>
      <c r="DJ77" s="49" t="str">
        <f t="shared" si="94"/>
        <v/>
      </c>
    </row>
    <row r="78" spans="1:114" ht="15.75" customHeight="1" x14ac:dyDescent="0.55000000000000004">
      <c r="A78" s="41" t="e">
        <f>MASANIELLO!#REF!</f>
        <v>#REF!</v>
      </c>
      <c r="B78" s="41" t="e">
        <f t="shared" si="2"/>
        <v>#VALUE!</v>
      </c>
      <c r="C78" s="42" t="e">
        <f t="shared" si="3"/>
        <v>#VALUE!</v>
      </c>
      <c r="D78" s="42" t="e">
        <f t="shared" si="4"/>
        <v>#VALUE!</v>
      </c>
      <c r="E78" s="42" t="e">
        <f t="shared" si="5"/>
        <v>#VALUE!</v>
      </c>
      <c r="F78" s="42" t="e">
        <f t="shared" si="6"/>
        <v>#VALUE!</v>
      </c>
      <c r="G78" s="50" t="e">
        <f t="shared" si="7"/>
        <v>#VALUE!</v>
      </c>
      <c r="H78" s="41" t="e">
        <f t="shared" si="8"/>
        <v>#VALUE!</v>
      </c>
      <c r="I78" s="41" t="e">
        <f t="shared" si="9"/>
        <v>#VALUE!</v>
      </c>
      <c r="J78" s="45" t="e">
        <f t="shared" si="10"/>
        <v>#VALUE!</v>
      </c>
      <c r="M78" s="48" t="b">
        <f t="shared" si="11"/>
        <v>0</v>
      </c>
      <c r="N78" s="49" t="e">
        <f t="shared" ref="N78:DJ78" si="95">IF(N$1&gt;$L$2,   "",   IF(N$1=$L$2,  1,  IF($L$2-N$1=$L$1-$M78, $L$3^($L$1-$M78), ($L$3*N79*O79/(N79+($L$3-1)*O79) ))))</f>
        <v>#DIV/0!</v>
      </c>
      <c r="O78" s="49" t="e">
        <f t="shared" si="95"/>
        <v>#DIV/0!</v>
      </c>
      <c r="P78" s="49" t="e">
        <f t="shared" si="95"/>
        <v>#DIV/0!</v>
      </c>
      <c r="Q78" s="49" t="e">
        <f t="shared" si="95"/>
        <v>#DIV/0!</v>
      </c>
      <c r="R78" s="49">
        <f t="shared" si="95"/>
        <v>1</v>
      </c>
      <c r="S78" s="49" t="str">
        <f t="shared" si="95"/>
        <v/>
      </c>
      <c r="T78" s="49" t="str">
        <f t="shared" si="95"/>
        <v/>
      </c>
      <c r="U78" s="49" t="str">
        <f t="shared" si="95"/>
        <v/>
      </c>
      <c r="V78" s="49" t="str">
        <f t="shared" si="95"/>
        <v/>
      </c>
      <c r="W78" s="49" t="str">
        <f t="shared" si="95"/>
        <v/>
      </c>
      <c r="X78" s="49" t="str">
        <f t="shared" si="95"/>
        <v/>
      </c>
      <c r="Y78" s="49" t="str">
        <f t="shared" si="95"/>
        <v/>
      </c>
      <c r="Z78" s="49" t="str">
        <f t="shared" si="95"/>
        <v/>
      </c>
      <c r="AA78" s="49" t="str">
        <f t="shared" si="95"/>
        <v/>
      </c>
      <c r="AB78" s="49" t="str">
        <f t="shared" si="95"/>
        <v/>
      </c>
      <c r="AC78" s="49" t="str">
        <f t="shared" si="95"/>
        <v/>
      </c>
      <c r="AD78" s="49" t="str">
        <f t="shared" si="95"/>
        <v/>
      </c>
      <c r="AE78" s="49" t="str">
        <f t="shared" si="95"/>
        <v/>
      </c>
      <c r="AF78" s="49" t="str">
        <f t="shared" si="95"/>
        <v/>
      </c>
      <c r="AG78" s="49" t="str">
        <f t="shared" si="95"/>
        <v/>
      </c>
      <c r="AH78" s="49" t="str">
        <f t="shared" si="95"/>
        <v/>
      </c>
      <c r="AI78" s="49" t="str">
        <f t="shared" si="95"/>
        <v/>
      </c>
      <c r="AJ78" s="49" t="str">
        <f t="shared" si="95"/>
        <v/>
      </c>
      <c r="AK78" s="49" t="str">
        <f t="shared" si="95"/>
        <v/>
      </c>
      <c r="AL78" s="49" t="str">
        <f t="shared" si="95"/>
        <v/>
      </c>
      <c r="AM78" s="49" t="str">
        <f t="shared" si="95"/>
        <v/>
      </c>
      <c r="AN78" s="49" t="str">
        <f t="shared" si="95"/>
        <v/>
      </c>
      <c r="AO78" s="49" t="str">
        <f t="shared" si="95"/>
        <v/>
      </c>
      <c r="AP78" s="49" t="str">
        <f t="shared" si="95"/>
        <v/>
      </c>
      <c r="AQ78" s="49" t="str">
        <f t="shared" si="95"/>
        <v/>
      </c>
      <c r="AR78" s="49" t="str">
        <f t="shared" si="95"/>
        <v/>
      </c>
      <c r="AS78" s="49" t="str">
        <f t="shared" si="95"/>
        <v/>
      </c>
      <c r="AT78" s="49" t="str">
        <f t="shared" si="95"/>
        <v/>
      </c>
      <c r="AU78" s="49" t="str">
        <f t="shared" si="95"/>
        <v/>
      </c>
      <c r="AV78" s="49" t="str">
        <f t="shared" si="95"/>
        <v/>
      </c>
      <c r="AW78" s="49" t="str">
        <f t="shared" si="95"/>
        <v/>
      </c>
      <c r="AX78" s="49" t="str">
        <f t="shared" si="95"/>
        <v/>
      </c>
      <c r="AY78" s="49" t="str">
        <f t="shared" si="95"/>
        <v/>
      </c>
      <c r="AZ78" s="49" t="str">
        <f t="shared" si="95"/>
        <v/>
      </c>
      <c r="BA78" s="49" t="str">
        <f t="shared" si="95"/>
        <v/>
      </c>
      <c r="BB78" s="49" t="str">
        <f t="shared" si="95"/>
        <v/>
      </c>
      <c r="BC78" s="49" t="str">
        <f t="shared" si="95"/>
        <v/>
      </c>
      <c r="BD78" s="49" t="str">
        <f t="shared" si="95"/>
        <v/>
      </c>
      <c r="BE78" s="49" t="str">
        <f t="shared" si="95"/>
        <v/>
      </c>
      <c r="BF78" s="49" t="str">
        <f t="shared" si="95"/>
        <v/>
      </c>
      <c r="BG78" s="49" t="str">
        <f t="shared" si="95"/>
        <v/>
      </c>
      <c r="BH78" s="49" t="str">
        <f t="shared" si="95"/>
        <v/>
      </c>
      <c r="BI78" s="49" t="str">
        <f t="shared" si="95"/>
        <v/>
      </c>
      <c r="BJ78" s="49" t="str">
        <f t="shared" si="95"/>
        <v/>
      </c>
      <c r="BK78" s="49" t="str">
        <f t="shared" si="95"/>
        <v/>
      </c>
      <c r="BL78" s="49" t="str">
        <f t="shared" si="95"/>
        <v/>
      </c>
      <c r="BM78" s="49" t="str">
        <f t="shared" si="95"/>
        <v/>
      </c>
      <c r="BN78" s="49" t="str">
        <f t="shared" si="95"/>
        <v/>
      </c>
      <c r="BO78" s="49" t="str">
        <f t="shared" si="95"/>
        <v/>
      </c>
      <c r="BP78" s="49" t="str">
        <f t="shared" si="95"/>
        <v/>
      </c>
      <c r="BQ78" s="49" t="str">
        <f t="shared" si="95"/>
        <v/>
      </c>
      <c r="BR78" s="49" t="str">
        <f t="shared" si="95"/>
        <v/>
      </c>
      <c r="BS78" s="49" t="str">
        <f t="shared" si="95"/>
        <v/>
      </c>
      <c r="BT78" s="49" t="str">
        <f t="shared" si="95"/>
        <v/>
      </c>
      <c r="BU78" s="49" t="str">
        <f t="shared" si="95"/>
        <v/>
      </c>
      <c r="BV78" s="49" t="str">
        <f t="shared" si="95"/>
        <v/>
      </c>
      <c r="BW78" s="49" t="str">
        <f t="shared" si="95"/>
        <v/>
      </c>
      <c r="BX78" s="49" t="str">
        <f t="shared" si="95"/>
        <v/>
      </c>
      <c r="BY78" s="49" t="str">
        <f t="shared" si="95"/>
        <v/>
      </c>
      <c r="BZ78" s="49" t="str">
        <f t="shared" si="95"/>
        <v/>
      </c>
      <c r="CA78" s="49" t="str">
        <f t="shared" si="95"/>
        <v/>
      </c>
      <c r="CB78" s="49" t="str">
        <f t="shared" si="95"/>
        <v/>
      </c>
      <c r="CC78" s="49" t="str">
        <f t="shared" si="95"/>
        <v/>
      </c>
      <c r="CD78" s="49" t="str">
        <f t="shared" si="95"/>
        <v/>
      </c>
      <c r="CE78" s="49" t="str">
        <f t="shared" si="95"/>
        <v/>
      </c>
      <c r="CF78" s="49" t="str">
        <f t="shared" si="95"/>
        <v/>
      </c>
      <c r="CG78" s="49" t="str">
        <f t="shared" si="95"/>
        <v/>
      </c>
      <c r="CH78" s="49" t="str">
        <f t="shared" si="95"/>
        <v/>
      </c>
      <c r="CI78" s="49" t="str">
        <f t="shared" si="95"/>
        <v/>
      </c>
      <c r="CJ78" s="49" t="str">
        <f t="shared" si="95"/>
        <v/>
      </c>
      <c r="CK78" s="49" t="str">
        <f t="shared" si="95"/>
        <v/>
      </c>
      <c r="CL78" s="49" t="str">
        <f t="shared" si="95"/>
        <v/>
      </c>
      <c r="CM78" s="49" t="str">
        <f t="shared" si="95"/>
        <v/>
      </c>
      <c r="CN78" s="49" t="str">
        <f t="shared" si="95"/>
        <v/>
      </c>
      <c r="CO78" s="49" t="str">
        <f t="shared" si="95"/>
        <v/>
      </c>
      <c r="CP78" s="49" t="str">
        <f t="shared" si="95"/>
        <v/>
      </c>
      <c r="CQ78" s="49" t="str">
        <f t="shared" si="95"/>
        <v/>
      </c>
      <c r="CR78" s="49" t="str">
        <f t="shared" si="95"/>
        <v/>
      </c>
      <c r="CS78" s="49" t="str">
        <f t="shared" si="95"/>
        <v/>
      </c>
      <c r="CT78" s="49" t="str">
        <f t="shared" si="95"/>
        <v/>
      </c>
      <c r="CU78" s="49" t="str">
        <f t="shared" si="95"/>
        <v/>
      </c>
      <c r="CV78" s="49" t="str">
        <f t="shared" si="95"/>
        <v/>
      </c>
      <c r="CW78" s="49" t="str">
        <f t="shared" si="95"/>
        <v/>
      </c>
      <c r="CX78" s="49" t="str">
        <f t="shared" si="95"/>
        <v/>
      </c>
      <c r="CY78" s="49" t="str">
        <f t="shared" si="95"/>
        <v/>
      </c>
      <c r="CZ78" s="49" t="str">
        <f t="shared" si="95"/>
        <v/>
      </c>
      <c r="DA78" s="49" t="str">
        <f t="shared" si="95"/>
        <v/>
      </c>
      <c r="DB78" s="49" t="str">
        <f t="shared" si="95"/>
        <v/>
      </c>
      <c r="DC78" s="49" t="str">
        <f t="shared" si="95"/>
        <v/>
      </c>
      <c r="DD78" s="49" t="str">
        <f t="shared" si="95"/>
        <v/>
      </c>
      <c r="DE78" s="49" t="str">
        <f t="shared" si="95"/>
        <v/>
      </c>
      <c r="DF78" s="49" t="str">
        <f t="shared" si="95"/>
        <v/>
      </c>
      <c r="DG78" s="49" t="str">
        <f t="shared" si="95"/>
        <v/>
      </c>
      <c r="DH78" s="49" t="str">
        <f t="shared" si="95"/>
        <v/>
      </c>
      <c r="DI78" s="49" t="str">
        <f t="shared" si="95"/>
        <v/>
      </c>
      <c r="DJ78" s="49" t="str">
        <f t="shared" si="95"/>
        <v/>
      </c>
    </row>
    <row r="79" spans="1:114" ht="15.75" customHeight="1" x14ac:dyDescent="0.55000000000000004">
      <c r="A79" s="41" t="e">
        <f>MASANIELLO!#REF!</f>
        <v>#REF!</v>
      </c>
      <c r="B79" s="41" t="e">
        <f t="shared" si="2"/>
        <v>#VALUE!</v>
      </c>
      <c r="C79" s="42" t="e">
        <f t="shared" si="3"/>
        <v>#VALUE!</v>
      </c>
      <c r="D79" s="42" t="e">
        <f t="shared" si="4"/>
        <v>#VALUE!</v>
      </c>
      <c r="E79" s="42" t="e">
        <f t="shared" si="5"/>
        <v>#VALUE!</v>
      </c>
      <c r="F79" s="42" t="e">
        <f t="shared" si="6"/>
        <v>#VALUE!</v>
      </c>
      <c r="G79" s="50" t="e">
        <f t="shared" si="7"/>
        <v>#VALUE!</v>
      </c>
      <c r="H79" s="41" t="e">
        <f t="shared" si="8"/>
        <v>#VALUE!</v>
      </c>
      <c r="I79" s="41" t="e">
        <f t="shared" si="9"/>
        <v>#VALUE!</v>
      </c>
      <c r="J79" s="45" t="e">
        <f t="shared" si="10"/>
        <v>#VALUE!</v>
      </c>
      <c r="M79" s="48" t="b">
        <f t="shared" si="11"/>
        <v>0</v>
      </c>
      <c r="N79" s="49" t="e">
        <f t="shared" ref="N79:DJ79" si="96">IF(N$1&gt;$L$2,   "",   IF(N$1=$L$2,  1,  IF($L$2-N$1=$L$1-$M79, $L$3^($L$1-$M79), ($L$3*N80*O80/(N80+($L$3-1)*O80) ))))</f>
        <v>#DIV/0!</v>
      </c>
      <c r="O79" s="49" t="e">
        <f t="shared" si="96"/>
        <v>#DIV/0!</v>
      </c>
      <c r="P79" s="49" t="e">
        <f t="shared" si="96"/>
        <v>#DIV/0!</v>
      </c>
      <c r="Q79" s="49" t="e">
        <f t="shared" si="96"/>
        <v>#DIV/0!</v>
      </c>
      <c r="R79" s="49">
        <f t="shared" si="96"/>
        <v>1</v>
      </c>
      <c r="S79" s="49" t="str">
        <f t="shared" si="96"/>
        <v/>
      </c>
      <c r="T79" s="49" t="str">
        <f t="shared" si="96"/>
        <v/>
      </c>
      <c r="U79" s="49" t="str">
        <f t="shared" si="96"/>
        <v/>
      </c>
      <c r="V79" s="49" t="str">
        <f t="shared" si="96"/>
        <v/>
      </c>
      <c r="W79" s="49" t="str">
        <f t="shared" si="96"/>
        <v/>
      </c>
      <c r="X79" s="49" t="str">
        <f t="shared" si="96"/>
        <v/>
      </c>
      <c r="Y79" s="49" t="str">
        <f t="shared" si="96"/>
        <v/>
      </c>
      <c r="Z79" s="49" t="str">
        <f t="shared" si="96"/>
        <v/>
      </c>
      <c r="AA79" s="49" t="str">
        <f t="shared" si="96"/>
        <v/>
      </c>
      <c r="AB79" s="49" t="str">
        <f t="shared" si="96"/>
        <v/>
      </c>
      <c r="AC79" s="49" t="str">
        <f t="shared" si="96"/>
        <v/>
      </c>
      <c r="AD79" s="49" t="str">
        <f t="shared" si="96"/>
        <v/>
      </c>
      <c r="AE79" s="49" t="str">
        <f t="shared" si="96"/>
        <v/>
      </c>
      <c r="AF79" s="49" t="str">
        <f t="shared" si="96"/>
        <v/>
      </c>
      <c r="AG79" s="49" t="str">
        <f t="shared" si="96"/>
        <v/>
      </c>
      <c r="AH79" s="49" t="str">
        <f t="shared" si="96"/>
        <v/>
      </c>
      <c r="AI79" s="49" t="str">
        <f t="shared" si="96"/>
        <v/>
      </c>
      <c r="AJ79" s="49" t="str">
        <f t="shared" si="96"/>
        <v/>
      </c>
      <c r="AK79" s="49" t="str">
        <f t="shared" si="96"/>
        <v/>
      </c>
      <c r="AL79" s="49" t="str">
        <f t="shared" si="96"/>
        <v/>
      </c>
      <c r="AM79" s="49" t="str">
        <f t="shared" si="96"/>
        <v/>
      </c>
      <c r="AN79" s="49" t="str">
        <f t="shared" si="96"/>
        <v/>
      </c>
      <c r="AO79" s="49" t="str">
        <f t="shared" si="96"/>
        <v/>
      </c>
      <c r="AP79" s="49" t="str">
        <f t="shared" si="96"/>
        <v/>
      </c>
      <c r="AQ79" s="49" t="str">
        <f t="shared" si="96"/>
        <v/>
      </c>
      <c r="AR79" s="49" t="str">
        <f t="shared" si="96"/>
        <v/>
      </c>
      <c r="AS79" s="49" t="str">
        <f t="shared" si="96"/>
        <v/>
      </c>
      <c r="AT79" s="49" t="str">
        <f t="shared" si="96"/>
        <v/>
      </c>
      <c r="AU79" s="49" t="str">
        <f t="shared" si="96"/>
        <v/>
      </c>
      <c r="AV79" s="49" t="str">
        <f t="shared" si="96"/>
        <v/>
      </c>
      <c r="AW79" s="49" t="str">
        <f t="shared" si="96"/>
        <v/>
      </c>
      <c r="AX79" s="49" t="str">
        <f t="shared" si="96"/>
        <v/>
      </c>
      <c r="AY79" s="49" t="str">
        <f t="shared" si="96"/>
        <v/>
      </c>
      <c r="AZ79" s="49" t="str">
        <f t="shared" si="96"/>
        <v/>
      </c>
      <c r="BA79" s="49" t="str">
        <f t="shared" si="96"/>
        <v/>
      </c>
      <c r="BB79" s="49" t="str">
        <f t="shared" si="96"/>
        <v/>
      </c>
      <c r="BC79" s="49" t="str">
        <f t="shared" si="96"/>
        <v/>
      </c>
      <c r="BD79" s="49" t="str">
        <f t="shared" si="96"/>
        <v/>
      </c>
      <c r="BE79" s="49" t="str">
        <f t="shared" si="96"/>
        <v/>
      </c>
      <c r="BF79" s="49" t="str">
        <f t="shared" si="96"/>
        <v/>
      </c>
      <c r="BG79" s="49" t="str">
        <f t="shared" si="96"/>
        <v/>
      </c>
      <c r="BH79" s="49" t="str">
        <f t="shared" si="96"/>
        <v/>
      </c>
      <c r="BI79" s="49" t="str">
        <f t="shared" si="96"/>
        <v/>
      </c>
      <c r="BJ79" s="49" t="str">
        <f t="shared" si="96"/>
        <v/>
      </c>
      <c r="BK79" s="49" t="str">
        <f t="shared" si="96"/>
        <v/>
      </c>
      <c r="BL79" s="49" t="str">
        <f t="shared" si="96"/>
        <v/>
      </c>
      <c r="BM79" s="49" t="str">
        <f t="shared" si="96"/>
        <v/>
      </c>
      <c r="BN79" s="49" t="str">
        <f t="shared" si="96"/>
        <v/>
      </c>
      <c r="BO79" s="49" t="str">
        <f t="shared" si="96"/>
        <v/>
      </c>
      <c r="BP79" s="49" t="str">
        <f t="shared" si="96"/>
        <v/>
      </c>
      <c r="BQ79" s="49" t="str">
        <f t="shared" si="96"/>
        <v/>
      </c>
      <c r="BR79" s="49" t="str">
        <f t="shared" si="96"/>
        <v/>
      </c>
      <c r="BS79" s="49" t="str">
        <f t="shared" si="96"/>
        <v/>
      </c>
      <c r="BT79" s="49" t="str">
        <f t="shared" si="96"/>
        <v/>
      </c>
      <c r="BU79" s="49" t="str">
        <f t="shared" si="96"/>
        <v/>
      </c>
      <c r="BV79" s="49" t="str">
        <f t="shared" si="96"/>
        <v/>
      </c>
      <c r="BW79" s="49" t="str">
        <f t="shared" si="96"/>
        <v/>
      </c>
      <c r="BX79" s="49" t="str">
        <f t="shared" si="96"/>
        <v/>
      </c>
      <c r="BY79" s="49" t="str">
        <f t="shared" si="96"/>
        <v/>
      </c>
      <c r="BZ79" s="49" t="str">
        <f t="shared" si="96"/>
        <v/>
      </c>
      <c r="CA79" s="49" t="str">
        <f t="shared" si="96"/>
        <v/>
      </c>
      <c r="CB79" s="49" t="str">
        <f t="shared" si="96"/>
        <v/>
      </c>
      <c r="CC79" s="49" t="str">
        <f t="shared" si="96"/>
        <v/>
      </c>
      <c r="CD79" s="49" t="str">
        <f t="shared" si="96"/>
        <v/>
      </c>
      <c r="CE79" s="49" t="str">
        <f t="shared" si="96"/>
        <v/>
      </c>
      <c r="CF79" s="49" t="str">
        <f t="shared" si="96"/>
        <v/>
      </c>
      <c r="CG79" s="49" t="str">
        <f t="shared" si="96"/>
        <v/>
      </c>
      <c r="CH79" s="49" t="str">
        <f t="shared" si="96"/>
        <v/>
      </c>
      <c r="CI79" s="49" t="str">
        <f t="shared" si="96"/>
        <v/>
      </c>
      <c r="CJ79" s="49" t="str">
        <f t="shared" si="96"/>
        <v/>
      </c>
      <c r="CK79" s="49" t="str">
        <f t="shared" si="96"/>
        <v/>
      </c>
      <c r="CL79" s="49" t="str">
        <f t="shared" si="96"/>
        <v/>
      </c>
      <c r="CM79" s="49" t="str">
        <f t="shared" si="96"/>
        <v/>
      </c>
      <c r="CN79" s="49" t="str">
        <f t="shared" si="96"/>
        <v/>
      </c>
      <c r="CO79" s="49" t="str">
        <f t="shared" si="96"/>
        <v/>
      </c>
      <c r="CP79" s="49" t="str">
        <f t="shared" si="96"/>
        <v/>
      </c>
      <c r="CQ79" s="49" t="str">
        <f t="shared" si="96"/>
        <v/>
      </c>
      <c r="CR79" s="49" t="str">
        <f t="shared" si="96"/>
        <v/>
      </c>
      <c r="CS79" s="49" t="str">
        <f t="shared" si="96"/>
        <v/>
      </c>
      <c r="CT79" s="49" t="str">
        <f t="shared" si="96"/>
        <v/>
      </c>
      <c r="CU79" s="49" t="str">
        <f t="shared" si="96"/>
        <v/>
      </c>
      <c r="CV79" s="49" t="str">
        <f t="shared" si="96"/>
        <v/>
      </c>
      <c r="CW79" s="49" t="str">
        <f t="shared" si="96"/>
        <v/>
      </c>
      <c r="CX79" s="49" t="str">
        <f t="shared" si="96"/>
        <v/>
      </c>
      <c r="CY79" s="49" t="str">
        <f t="shared" si="96"/>
        <v/>
      </c>
      <c r="CZ79" s="49" t="str">
        <f t="shared" si="96"/>
        <v/>
      </c>
      <c r="DA79" s="49" t="str">
        <f t="shared" si="96"/>
        <v/>
      </c>
      <c r="DB79" s="49" t="str">
        <f t="shared" si="96"/>
        <v/>
      </c>
      <c r="DC79" s="49" t="str">
        <f t="shared" si="96"/>
        <v/>
      </c>
      <c r="DD79" s="49" t="str">
        <f t="shared" si="96"/>
        <v/>
      </c>
      <c r="DE79" s="49" t="str">
        <f t="shared" si="96"/>
        <v/>
      </c>
      <c r="DF79" s="49" t="str">
        <f t="shared" si="96"/>
        <v/>
      </c>
      <c r="DG79" s="49" t="str">
        <f t="shared" si="96"/>
        <v/>
      </c>
      <c r="DH79" s="49" t="str">
        <f t="shared" si="96"/>
        <v/>
      </c>
      <c r="DI79" s="49" t="str">
        <f t="shared" si="96"/>
        <v/>
      </c>
      <c r="DJ79" s="49" t="str">
        <f t="shared" si="96"/>
        <v/>
      </c>
    </row>
    <row r="80" spans="1:114" ht="15.75" customHeight="1" x14ac:dyDescent="0.55000000000000004">
      <c r="A80" s="41" t="e">
        <f>MASANIELLO!#REF!</f>
        <v>#REF!</v>
      </c>
      <c r="B80" s="41" t="e">
        <f t="shared" si="2"/>
        <v>#VALUE!</v>
      </c>
      <c r="C80" s="42" t="e">
        <f t="shared" si="3"/>
        <v>#VALUE!</v>
      </c>
      <c r="D80" s="42" t="e">
        <f t="shared" si="4"/>
        <v>#VALUE!</v>
      </c>
      <c r="E80" s="42" t="e">
        <f t="shared" si="5"/>
        <v>#VALUE!</v>
      </c>
      <c r="F80" s="42" t="e">
        <f t="shared" si="6"/>
        <v>#VALUE!</v>
      </c>
      <c r="G80" s="50" t="e">
        <f t="shared" si="7"/>
        <v>#VALUE!</v>
      </c>
      <c r="H80" s="41" t="e">
        <f t="shared" si="8"/>
        <v>#VALUE!</v>
      </c>
      <c r="I80" s="41" t="e">
        <f t="shared" si="9"/>
        <v>#VALUE!</v>
      </c>
      <c r="J80" s="45" t="e">
        <f t="shared" si="10"/>
        <v>#VALUE!</v>
      </c>
      <c r="M80" s="48" t="b">
        <f t="shared" si="11"/>
        <v>0</v>
      </c>
      <c r="N80" s="49" t="e">
        <f t="shared" ref="N80:DJ80" si="97">IF(N$1&gt;$L$2,   "",   IF(N$1=$L$2,  1,  IF($L$2-N$1=$L$1-$M80, $L$3^($L$1-$M80), ($L$3*N81*O81/(N81+($L$3-1)*O81) ))))</f>
        <v>#DIV/0!</v>
      </c>
      <c r="O80" s="49" t="e">
        <f t="shared" si="97"/>
        <v>#DIV/0!</v>
      </c>
      <c r="P80" s="49" t="e">
        <f t="shared" si="97"/>
        <v>#DIV/0!</v>
      </c>
      <c r="Q80" s="49" t="e">
        <f t="shared" si="97"/>
        <v>#DIV/0!</v>
      </c>
      <c r="R80" s="49">
        <f t="shared" si="97"/>
        <v>1</v>
      </c>
      <c r="S80" s="49" t="str">
        <f t="shared" si="97"/>
        <v/>
      </c>
      <c r="T80" s="49" t="str">
        <f t="shared" si="97"/>
        <v/>
      </c>
      <c r="U80" s="49" t="str">
        <f t="shared" si="97"/>
        <v/>
      </c>
      <c r="V80" s="49" t="str">
        <f t="shared" si="97"/>
        <v/>
      </c>
      <c r="W80" s="49" t="str">
        <f t="shared" si="97"/>
        <v/>
      </c>
      <c r="X80" s="49" t="str">
        <f t="shared" si="97"/>
        <v/>
      </c>
      <c r="Y80" s="49" t="str">
        <f t="shared" si="97"/>
        <v/>
      </c>
      <c r="Z80" s="49" t="str">
        <f t="shared" si="97"/>
        <v/>
      </c>
      <c r="AA80" s="49" t="str">
        <f t="shared" si="97"/>
        <v/>
      </c>
      <c r="AB80" s="49" t="str">
        <f t="shared" si="97"/>
        <v/>
      </c>
      <c r="AC80" s="49" t="str">
        <f t="shared" si="97"/>
        <v/>
      </c>
      <c r="AD80" s="49" t="str">
        <f t="shared" si="97"/>
        <v/>
      </c>
      <c r="AE80" s="49" t="str">
        <f t="shared" si="97"/>
        <v/>
      </c>
      <c r="AF80" s="49" t="str">
        <f t="shared" si="97"/>
        <v/>
      </c>
      <c r="AG80" s="49" t="str">
        <f t="shared" si="97"/>
        <v/>
      </c>
      <c r="AH80" s="49" t="str">
        <f t="shared" si="97"/>
        <v/>
      </c>
      <c r="AI80" s="49" t="str">
        <f t="shared" si="97"/>
        <v/>
      </c>
      <c r="AJ80" s="49" t="str">
        <f t="shared" si="97"/>
        <v/>
      </c>
      <c r="AK80" s="49" t="str">
        <f t="shared" si="97"/>
        <v/>
      </c>
      <c r="AL80" s="49" t="str">
        <f t="shared" si="97"/>
        <v/>
      </c>
      <c r="AM80" s="49" t="str">
        <f t="shared" si="97"/>
        <v/>
      </c>
      <c r="AN80" s="49" t="str">
        <f t="shared" si="97"/>
        <v/>
      </c>
      <c r="AO80" s="49" t="str">
        <f t="shared" si="97"/>
        <v/>
      </c>
      <c r="AP80" s="49" t="str">
        <f t="shared" si="97"/>
        <v/>
      </c>
      <c r="AQ80" s="49" t="str">
        <f t="shared" si="97"/>
        <v/>
      </c>
      <c r="AR80" s="49" t="str">
        <f t="shared" si="97"/>
        <v/>
      </c>
      <c r="AS80" s="49" t="str">
        <f t="shared" si="97"/>
        <v/>
      </c>
      <c r="AT80" s="49" t="str">
        <f t="shared" si="97"/>
        <v/>
      </c>
      <c r="AU80" s="49" t="str">
        <f t="shared" si="97"/>
        <v/>
      </c>
      <c r="AV80" s="49" t="str">
        <f t="shared" si="97"/>
        <v/>
      </c>
      <c r="AW80" s="49" t="str">
        <f t="shared" si="97"/>
        <v/>
      </c>
      <c r="AX80" s="49" t="str">
        <f t="shared" si="97"/>
        <v/>
      </c>
      <c r="AY80" s="49" t="str">
        <f t="shared" si="97"/>
        <v/>
      </c>
      <c r="AZ80" s="49" t="str">
        <f t="shared" si="97"/>
        <v/>
      </c>
      <c r="BA80" s="49" t="str">
        <f t="shared" si="97"/>
        <v/>
      </c>
      <c r="BB80" s="49" t="str">
        <f t="shared" si="97"/>
        <v/>
      </c>
      <c r="BC80" s="49" t="str">
        <f t="shared" si="97"/>
        <v/>
      </c>
      <c r="BD80" s="49" t="str">
        <f t="shared" si="97"/>
        <v/>
      </c>
      <c r="BE80" s="49" t="str">
        <f t="shared" si="97"/>
        <v/>
      </c>
      <c r="BF80" s="49" t="str">
        <f t="shared" si="97"/>
        <v/>
      </c>
      <c r="BG80" s="49" t="str">
        <f t="shared" si="97"/>
        <v/>
      </c>
      <c r="BH80" s="49" t="str">
        <f t="shared" si="97"/>
        <v/>
      </c>
      <c r="BI80" s="49" t="str">
        <f t="shared" si="97"/>
        <v/>
      </c>
      <c r="BJ80" s="49" t="str">
        <f t="shared" si="97"/>
        <v/>
      </c>
      <c r="BK80" s="49" t="str">
        <f t="shared" si="97"/>
        <v/>
      </c>
      <c r="BL80" s="49" t="str">
        <f t="shared" si="97"/>
        <v/>
      </c>
      <c r="BM80" s="49" t="str">
        <f t="shared" si="97"/>
        <v/>
      </c>
      <c r="BN80" s="49" t="str">
        <f t="shared" si="97"/>
        <v/>
      </c>
      <c r="BO80" s="49" t="str">
        <f t="shared" si="97"/>
        <v/>
      </c>
      <c r="BP80" s="49" t="str">
        <f t="shared" si="97"/>
        <v/>
      </c>
      <c r="BQ80" s="49" t="str">
        <f t="shared" si="97"/>
        <v/>
      </c>
      <c r="BR80" s="49" t="str">
        <f t="shared" si="97"/>
        <v/>
      </c>
      <c r="BS80" s="49" t="str">
        <f t="shared" si="97"/>
        <v/>
      </c>
      <c r="BT80" s="49" t="str">
        <f t="shared" si="97"/>
        <v/>
      </c>
      <c r="BU80" s="49" t="str">
        <f t="shared" si="97"/>
        <v/>
      </c>
      <c r="BV80" s="49" t="str">
        <f t="shared" si="97"/>
        <v/>
      </c>
      <c r="BW80" s="49" t="str">
        <f t="shared" si="97"/>
        <v/>
      </c>
      <c r="BX80" s="49" t="str">
        <f t="shared" si="97"/>
        <v/>
      </c>
      <c r="BY80" s="49" t="str">
        <f t="shared" si="97"/>
        <v/>
      </c>
      <c r="BZ80" s="49" t="str">
        <f t="shared" si="97"/>
        <v/>
      </c>
      <c r="CA80" s="49" t="str">
        <f t="shared" si="97"/>
        <v/>
      </c>
      <c r="CB80" s="49" t="str">
        <f t="shared" si="97"/>
        <v/>
      </c>
      <c r="CC80" s="49" t="str">
        <f t="shared" si="97"/>
        <v/>
      </c>
      <c r="CD80" s="49" t="str">
        <f t="shared" si="97"/>
        <v/>
      </c>
      <c r="CE80" s="49" t="str">
        <f t="shared" si="97"/>
        <v/>
      </c>
      <c r="CF80" s="49" t="str">
        <f t="shared" si="97"/>
        <v/>
      </c>
      <c r="CG80" s="49" t="str">
        <f t="shared" si="97"/>
        <v/>
      </c>
      <c r="CH80" s="49" t="str">
        <f t="shared" si="97"/>
        <v/>
      </c>
      <c r="CI80" s="49" t="str">
        <f t="shared" si="97"/>
        <v/>
      </c>
      <c r="CJ80" s="49" t="str">
        <f t="shared" si="97"/>
        <v/>
      </c>
      <c r="CK80" s="49" t="str">
        <f t="shared" si="97"/>
        <v/>
      </c>
      <c r="CL80" s="49" t="str">
        <f t="shared" si="97"/>
        <v/>
      </c>
      <c r="CM80" s="49" t="str">
        <f t="shared" si="97"/>
        <v/>
      </c>
      <c r="CN80" s="49" t="str">
        <f t="shared" si="97"/>
        <v/>
      </c>
      <c r="CO80" s="49" t="str">
        <f t="shared" si="97"/>
        <v/>
      </c>
      <c r="CP80" s="49" t="str">
        <f t="shared" si="97"/>
        <v/>
      </c>
      <c r="CQ80" s="49" t="str">
        <f t="shared" si="97"/>
        <v/>
      </c>
      <c r="CR80" s="49" t="str">
        <f t="shared" si="97"/>
        <v/>
      </c>
      <c r="CS80" s="49" t="str">
        <f t="shared" si="97"/>
        <v/>
      </c>
      <c r="CT80" s="49" t="str">
        <f t="shared" si="97"/>
        <v/>
      </c>
      <c r="CU80" s="49" t="str">
        <f t="shared" si="97"/>
        <v/>
      </c>
      <c r="CV80" s="49" t="str">
        <f t="shared" si="97"/>
        <v/>
      </c>
      <c r="CW80" s="49" t="str">
        <f t="shared" si="97"/>
        <v/>
      </c>
      <c r="CX80" s="49" t="str">
        <f t="shared" si="97"/>
        <v/>
      </c>
      <c r="CY80" s="49" t="str">
        <f t="shared" si="97"/>
        <v/>
      </c>
      <c r="CZ80" s="49" t="str">
        <f t="shared" si="97"/>
        <v/>
      </c>
      <c r="DA80" s="49" t="str">
        <f t="shared" si="97"/>
        <v/>
      </c>
      <c r="DB80" s="49" t="str">
        <f t="shared" si="97"/>
        <v/>
      </c>
      <c r="DC80" s="49" t="str">
        <f t="shared" si="97"/>
        <v/>
      </c>
      <c r="DD80" s="49" t="str">
        <f t="shared" si="97"/>
        <v/>
      </c>
      <c r="DE80" s="49" t="str">
        <f t="shared" si="97"/>
        <v/>
      </c>
      <c r="DF80" s="49" t="str">
        <f t="shared" si="97"/>
        <v/>
      </c>
      <c r="DG80" s="49" t="str">
        <f t="shared" si="97"/>
        <v/>
      </c>
      <c r="DH80" s="49" t="str">
        <f t="shared" si="97"/>
        <v/>
      </c>
      <c r="DI80" s="49" t="str">
        <f t="shared" si="97"/>
        <v/>
      </c>
      <c r="DJ80" s="49" t="str">
        <f t="shared" si="97"/>
        <v/>
      </c>
    </row>
    <row r="81" spans="1:114" ht="15.75" customHeight="1" x14ac:dyDescent="0.55000000000000004">
      <c r="A81" s="41" t="e">
        <f>MASANIELLO!#REF!</f>
        <v>#REF!</v>
      </c>
      <c r="B81" s="41" t="e">
        <f t="shared" si="2"/>
        <v>#VALUE!</v>
      </c>
      <c r="C81" s="42" t="e">
        <f t="shared" si="3"/>
        <v>#VALUE!</v>
      </c>
      <c r="D81" s="42" t="e">
        <f t="shared" si="4"/>
        <v>#VALUE!</v>
      </c>
      <c r="E81" s="42" t="e">
        <f t="shared" si="5"/>
        <v>#VALUE!</v>
      </c>
      <c r="F81" s="42" t="e">
        <f t="shared" si="6"/>
        <v>#VALUE!</v>
      </c>
      <c r="G81" s="50" t="e">
        <f t="shared" si="7"/>
        <v>#VALUE!</v>
      </c>
      <c r="H81" s="41" t="e">
        <f t="shared" si="8"/>
        <v>#VALUE!</v>
      </c>
      <c r="I81" s="41" t="e">
        <f t="shared" si="9"/>
        <v>#VALUE!</v>
      </c>
      <c r="J81" s="45" t="e">
        <f t="shared" si="10"/>
        <v>#VALUE!</v>
      </c>
      <c r="M81" s="48" t="b">
        <f t="shared" si="11"/>
        <v>0</v>
      </c>
      <c r="N81" s="49" t="e">
        <f t="shared" ref="N81:DJ81" si="98">IF(N$1&gt;$L$2,   "",   IF(N$1=$L$2,  1,  IF($L$2-N$1=$L$1-$M81, $L$3^($L$1-$M81), ($L$3*N82*O82/(N82+($L$3-1)*O82) ))))</f>
        <v>#DIV/0!</v>
      </c>
      <c r="O81" s="49" t="e">
        <f t="shared" si="98"/>
        <v>#DIV/0!</v>
      </c>
      <c r="P81" s="49" t="e">
        <f t="shared" si="98"/>
        <v>#DIV/0!</v>
      </c>
      <c r="Q81" s="49" t="e">
        <f t="shared" si="98"/>
        <v>#DIV/0!</v>
      </c>
      <c r="R81" s="49">
        <f t="shared" si="98"/>
        <v>1</v>
      </c>
      <c r="S81" s="49" t="str">
        <f t="shared" si="98"/>
        <v/>
      </c>
      <c r="T81" s="49" t="str">
        <f t="shared" si="98"/>
        <v/>
      </c>
      <c r="U81" s="49" t="str">
        <f t="shared" si="98"/>
        <v/>
      </c>
      <c r="V81" s="49" t="str">
        <f t="shared" si="98"/>
        <v/>
      </c>
      <c r="W81" s="49" t="str">
        <f t="shared" si="98"/>
        <v/>
      </c>
      <c r="X81" s="49" t="str">
        <f t="shared" si="98"/>
        <v/>
      </c>
      <c r="Y81" s="49" t="str">
        <f t="shared" si="98"/>
        <v/>
      </c>
      <c r="Z81" s="49" t="str">
        <f t="shared" si="98"/>
        <v/>
      </c>
      <c r="AA81" s="49" t="str">
        <f t="shared" si="98"/>
        <v/>
      </c>
      <c r="AB81" s="49" t="str">
        <f t="shared" si="98"/>
        <v/>
      </c>
      <c r="AC81" s="49" t="str">
        <f t="shared" si="98"/>
        <v/>
      </c>
      <c r="AD81" s="49" t="str">
        <f t="shared" si="98"/>
        <v/>
      </c>
      <c r="AE81" s="49" t="str">
        <f t="shared" si="98"/>
        <v/>
      </c>
      <c r="AF81" s="49" t="str">
        <f t="shared" si="98"/>
        <v/>
      </c>
      <c r="AG81" s="49" t="str">
        <f t="shared" si="98"/>
        <v/>
      </c>
      <c r="AH81" s="49" t="str">
        <f t="shared" si="98"/>
        <v/>
      </c>
      <c r="AI81" s="49" t="str">
        <f t="shared" si="98"/>
        <v/>
      </c>
      <c r="AJ81" s="49" t="str">
        <f t="shared" si="98"/>
        <v/>
      </c>
      <c r="AK81" s="49" t="str">
        <f t="shared" si="98"/>
        <v/>
      </c>
      <c r="AL81" s="49" t="str">
        <f t="shared" si="98"/>
        <v/>
      </c>
      <c r="AM81" s="49" t="str">
        <f t="shared" si="98"/>
        <v/>
      </c>
      <c r="AN81" s="49" t="str">
        <f t="shared" si="98"/>
        <v/>
      </c>
      <c r="AO81" s="49" t="str">
        <f t="shared" si="98"/>
        <v/>
      </c>
      <c r="AP81" s="49" t="str">
        <f t="shared" si="98"/>
        <v/>
      </c>
      <c r="AQ81" s="49" t="str">
        <f t="shared" si="98"/>
        <v/>
      </c>
      <c r="AR81" s="49" t="str">
        <f t="shared" si="98"/>
        <v/>
      </c>
      <c r="AS81" s="49" t="str">
        <f t="shared" si="98"/>
        <v/>
      </c>
      <c r="AT81" s="49" t="str">
        <f t="shared" si="98"/>
        <v/>
      </c>
      <c r="AU81" s="49" t="str">
        <f t="shared" si="98"/>
        <v/>
      </c>
      <c r="AV81" s="49" t="str">
        <f t="shared" si="98"/>
        <v/>
      </c>
      <c r="AW81" s="49" t="str">
        <f t="shared" si="98"/>
        <v/>
      </c>
      <c r="AX81" s="49" t="str">
        <f t="shared" si="98"/>
        <v/>
      </c>
      <c r="AY81" s="49" t="str">
        <f t="shared" si="98"/>
        <v/>
      </c>
      <c r="AZ81" s="49" t="str">
        <f t="shared" si="98"/>
        <v/>
      </c>
      <c r="BA81" s="49" t="str">
        <f t="shared" si="98"/>
        <v/>
      </c>
      <c r="BB81" s="49" t="str">
        <f t="shared" si="98"/>
        <v/>
      </c>
      <c r="BC81" s="49" t="str">
        <f t="shared" si="98"/>
        <v/>
      </c>
      <c r="BD81" s="49" t="str">
        <f t="shared" si="98"/>
        <v/>
      </c>
      <c r="BE81" s="49" t="str">
        <f t="shared" si="98"/>
        <v/>
      </c>
      <c r="BF81" s="49" t="str">
        <f t="shared" si="98"/>
        <v/>
      </c>
      <c r="BG81" s="49" t="str">
        <f t="shared" si="98"/>
        <v/>
      </c>
      <c r="BH81" s="49" t="str">
        <f t="shared" si="98"/>
        <v/>
      </c>
      <c r="BI81" s="49" t="str">
        <f t="shared" si="98"/>
        <v/>
      </c>
      <c r="BJ81" s="49" t="str">
        <f t="shared" si="98"/>
        <v/>
      </c>
      <c r="BK81" s="49" t="str">
        <f t="shared" si="98"/>
        <v/>
      </c>
      <c r="BL81" s="49" t="str">
        <f t="shared" si="98"/>
        <v/>
      </c>
      <c r="BM81" s="49" t="str">
        <f t="shared" si="98"/>
        <v/>
      </c>
      <c r="BN81" s="49" t="str">
        <f t="shared" si="98"/>
        <v/>
      </c>
      <c r="BO81" s="49" t="str">
        <f t="shared" si="98"/>
        <v/>
      </c>
      <c r="BP81" s="49" t="str">
        <f t="shared" si="98"/>
        <v/>
      </c>
      <c r="BQ81" s="49" t="str">
        <f t="shared" si="98"/>
        <v/>
      </c>
      <c r="BR81" s="49" t="str">
        <f t="shared" si="98"/>
        <v/>
      </c>
      <c r="BS81" s="49" t="str">
        <f t="shared" si="98"/>
        <v/>
      </c>
      <c r="BT81" s="49" t="str">
        <f t="shared" si="98"/>
        <v/>
      </c>
      <c r="BU81" s="49" t="str">
        <f t="shared" si="98"/>
        <v/>
      </c>
      <c r="BV81" s="49" t="str">
        <f t="shared" si="98"/>
        <v/>
      </c>
      <c r="BW81" s="49" t="str">
        <f t="shared" si="98"/>
        <v/>
      </c>
      <c r="BX81" s="49" t="str">
        <f t="shared" si="98"/>
        <v/>
      </c>
      <c r="BY81" s="49" t="str">
        <f t="shared" si="98"/>
        <v/>
      </c>
      <c r="BZ81" s="49" t="str">
        <f t="shared" si="98"/>
        <v/>
      </c>
      <c r="CA81" s="49" t="str">
        <f t="shared" si="98"/>
        <v/>
      </c>
      <c r="CB81" s="49" t="str">
        <f t="shared" si="98"/>
        <v/>
      </c>
      <c r="CC81" s="49" t="str">
        <f t="shared" si="98"/>
        <v/>
      </c>
      <c r="CD81" s="49" t="str">
        <f t="shared" si="98"/>
        <v/>
      </c>
      <c r="CE81" s="49" t="str">
        <f t="shared" si="98"/>
        <v/>
      </c>
      <c r="CF81" s="49" t="str">
        <f t="shared" si="98"/>
        <v/>
      </c>
      <c r="CG81" s="49" t="str">
        <f t="shared" si="98"/>
        <v/>
      </c>
      <c r="CH81" s="49" t="str">
        <f t="shared" si="98"/>
        <v/>
      </c>
      <c r="CI81" s="49" t="str">
        <f t="shared" si="98"/>
        <v/>
      </c>
      <c r="CJ81" s="49" t="str">
        <f t="shared" si="98"/>
        <v/>
      </c>
      <c r="CK81" s="49" t="str">
        <f t="shared" si="98"/>
        <v/>
      </c>
      <c r="CL81" s="49" t="str">
        <f t="shared" si="98"/>
        <v/>
      </c>
      <c r="CM81" s="49" t="str">
        <f t="shared" si="98"/>
        <v/>
      </c>
      <c r="CN81" s="49" t="str">
        <f t="shared" si="98"/>
        <v/>
      </c>
      <c r="CO81" s="49" t="str">
        <f t="shared" si="98"/>
        <v/>
      </c>
      <c r="CP81" s="49" t="str">
        <f t="shared" si="98"/>
        <v/>
      </c>
      <c r="CQ81" s="49" t="str">
        <f t="shared" si="98"/>
        <v/>
      </c>
      <c r="CR81" s="49" t="str">
        <f t="shared" si="98"/>
        <v/>
      </c>
      <c r="CS81" s="49" t="str">
        <f t="shared" si="98"/>
        <v/>
      </c>
      <c r="CT81" s="49" t="str">
        <f t="shared" si="98"/>
        <v/>
      </c>
      <c r="CU81" s="49" t="str">
        <f t="shared" si="98"/>
        <v/>
      </c>
      <c r="CV81" s="49" t="str">
        <f t="shared" si="98"/>
        <v/>
      </c>
      <c r="CW81" s="49" t="str">
        <f t="shared" si="98"/>
        <v/>
      </c>
      <c r="CX81" s="49" t="str">
        <f t="shared" si="98"/>
        <v/>
      </c>
      <c r="CY81" s="49" t="str">
        <f t="shared" si="98"/>
        <v/>
      </c>
      <c r="CZ81" s="49" t="str">
        <f t="shared" si="98"/>
        <v/>
      </c>
      <c r="DA81" s="49" t="str">
        <f t="shared" si="98"/>
        <v/>
      </c>
      <c r="DB81" s="49" t="str">
        <f t="shared" si="98"/>
        <v/>
      </c>
      <c r="DC81" s="49" t="str">
        <f t="shared" si="98"/>
        <v/>
      </c>
      <c r="DD81" s="49" t="str">
        <f t="shared" si="98"/>
        <v/>
      </c>
      <c r="DE81" s="49" t="str">
        <f t="shared" si="98"/>
        <v/>
      </c>
      <c r="DF81" s="49" t="str">
        <f t="shared" si="98"/>
        <v/>
      </c>
      <c r="DG81" s="49" t="str">
        <f t="shared" si="98"/>
        <v/>
      </c>
      <c r="DH81" s="49" t="str">
        <f t="shared" si="98"/>
        <v/>
      </c>
      <c r="DI81" s="49" t="str">
        <f t="shared" si="98"/>
        <v/>
      </c>
      <c r="DJ81" s="49" t="str">
        <f t="shared" si="98"/>
        <v/>
      </c>
    </row>
    <row r="82" spans="1:114" ht="15.75" customHeight="1" x14ac:dyDescent="0.55000000000000004">
      <c r="A82" s="41" t="e">
        <f>MASANIELLO!#REF!</f>
        <v>#REF!</v>
      </c>
      <c r="B82" s="41" t="e">
        <f t="shared" si="2"/>
        <v>#VALUE!</v>
      </c>
      <c r="C82" s="42" t="e">
        <f t="shared" si="3"/>
        <v>#VALUE!</v>
      </c>
      <c r="D82" s="42" t="e">
        <f t="shared" si="4"/>
        <v>#VALUE!</v>
      </c>
      <c r="E82" s="42" t="e">
        <f t="shared" si="5"/>
        <v>#VALUE!</v>
      </c>
      <c r="F82" s="42" t="e">
        <f t="shared" si="6"/>
        <v>#VALUE!</v>
      </c>
      <c r="G82" s="50" t="e">
        <f t="shared" si="7"/>
        <v>#VALUE!</v>
      </c>
      <c r="H82" s="41" t="e">
        <f t="shared" si="8"/>
        <v>#VALUE!</v>
      </c>
      <c r="I82" s="41" t="e">
        <f t="shared" si="9"/>
        <v>#VALUE!</v>
      </c>
      <c r="J82" s="45" t="e">
        <f t="shared" si="10"/>
        <v>#VALUE!</v>
      </c>
      <c r="M82" s="48" t="b">
        <f t="shared" si="11"/>
        <v>0</v>
      </c>
      <c r="N82" s="49" t="e">
        <f t="shared" ref="N82:DJ82" si="99">IF(N$1&gt;$L$2,   "",   IF(N$1=$L$2,  1,  IF($L$2-N$1=$L$1-$M82, $L$3^($L$1-$M82), ($L$3*N83*O83/(N83+($L$3-1)*O83) ))))</f>
        <v>#DIV/0!</v>
      </c>
      <c r="O82" s="49" t="e">
        <f t="shared" si="99"/>
        <v>#DIV/0!</v>
      </c>
      <c r="P82" s="49" t="e">
        <f t="shared" si="99"/>
        <v>#DIV/0!</v>
      </c>
      <c r="Q82" s="49" t="e">
        <f t="shared" si="99"/>
        <v>#DIV/0!</v>
      </c>
      <c r="R82" s="49">
        <f t="shared" si="99"/>
        <v>1</v>
      </c>
      <c r="S82" s="49" t="str">
        <f t="shared" si="99"/>
        <v/>
      </c>
      <c r="T82" s="49" t="str">
        <f t="shared" si="99"/>
        <v/>
      </c>
      <c r="U82" s="49" t="str">
        <f t="shared" si="99"/>
        <v/>
      </c>
      <c r="V82" s="49" t="str">
        <f t="shared" si="99"/>
        <v/>
      </c>
      <c r="W82" s="49" t="str">
        <f t="shared" si="99"/>
        <v/>
      </c>
      <c r="X82" s="49" t="str">
        <f t="shared" si="99"/>
        <v/>
      </c>
      <c r="Y82" s="49" t="str">
        <f t="shared" si="99"/>
        <v/>
      </c>
      <c r="Z82" s="49" t="str">
        <f t="shared" si="99"/>
        <v/>
      </c>
      <c r="AA82" s="49" t="str">
        <f t="shared" si="99"/>
        <v/>
      </c>
      <c r="AB82" s="49" t="str">
        <f t="shared" si="99"/>
        <v/>
      </c>
      <c r="AC82" s="49" t="str">
        <f t="shared" si="99"/>
        <v/>
      </c>
      <c r="AD82" s="49" t="str">
        <f t="shared" si="99"/>
        <v/>
      </c>
      <c r="AE82" s="49" t="str">
        <f t="shared" si="99"/>
        <v/>
      </c>
      <c r="AF82" s="49" t="str">
        <f t="shared" si="99"/>
        <v/>
      </c>
      <c r="AG82" s="49" t="str">
        <f t="shared" si="99"/>
        <v/>
      </c>
      <c r="AH82" s="49" t="str">
        <f t="shared" si="99"/>
        <v/>
      </c>
      <c r="AI82" s="49" t="str">
        <f t="shared" si="99"/>
        <v/>
      </c>
      <c r="AJ82" s="49" t="str">
        <f t="shared" si="99"/>
        <v/>
      </c>
      <c r="AK82" s="49" t="str">
        <f t="shared" si="99"/>
        <v/>
      </c>
      <c r="AL82" s="49" t="str">
        <f t="shared" si="99"/>
        <v/>
      </c>
      <c r="AM82" s="49" t="str">
        <f t="shared" si="99"/>
        <v/>
      </c>
      <c r="AN82" s="49" t="str">
        <f t="shared" si="99"/>
        <v/>
      </c>
      <c r="AO82" s="49" t="str">
        <f t="shared" si="99"/>
        <v/>
      </c>
      <c r="AP82" s="49" t="str">
        <f t="shared" si="99"/>
        <v/>
      </c>
      <c r="AQ82" s="49" t="str">
        <f t="shared" si="99"/>
        <v/>
      </c>
      <c r="AR82" s="49" t="str">
        <f t="shared" si="99"/>
        <v/>
      </c>
      <c r="AS82" s="49" t="str">
        <f t="shared" si="99"/>
        <v/>
      </c>
      <c r="AT82" s="49" t="str">
        <f t="shared" si="99"/>
        <v/>
      </c>
      <c r="AU82" s="49" t="str">
        <f t="shared" si="99"/>
        <v/>
      </c>
      <c r="AV82" s="49" t="str">
        <f t="shared" si="99"/>
        <v/>
      </c>
      <c r="AW82" s="49" t="str">
        <f t="shared" si="99"/>
        <v/>
      </c>
      <c r="AX82" s="49" t="str">
        <f t="shared" si="99"/>
        <v/>
      </c>
      <c r="AY82" s="49" t="str">
        <f t="shared" si="99"/>
        <v/>
      </c>
      <c r="AZ82" s="49" t="str">
        <f t="shared" si="99"/>
        <v/>
      </c>
      <c r="BA82" s="49" t="str">
        <f t="shared" si="99"/>
        <v/>
      </c>
      <c r="BB82" s="49" t="str">
        <f t="shared" si="99"/>
        <v/>
      </c>
      <c r="BC82" s="49" t="str">
        <f t="shared" si="99"/>
        <v/>
      </c>
      <c r="BD82" s="49" t="str">
        <f t="shared" si="99"/>
        <v/>
      </c>
      <c r="BE82" s="49" t="str">
        <f t="shared" si="99"/>
        <v/>
      </c>
      <c r="BF82" s="49" t="str">
        <f t="shared" si="99"/>
        <v/>
      </c>
      <c r="BG82" s="49" t="str">
        <f t="shared" si="99"/>
        <v/>
      </c>
      <c r="BH82" s="49" t="str">
        <f t="shared" si="99"/>
        <v/>
      </c>
      <c r="BI82" s="49" t="str">
        <f t="shared" si="99"/>
        <v/>
      </c>
      <c r="BJ82" s="49" t="str">
        <f t="shared" si="99"/>
        <v/>
      </c>
      <c r="BK82" s="49" t="str">
        <f t="shared" si="99"/>
        <v/>
      </c>
      <c r="BL82" s="49" t="str">
        <f t="shared" si="99"/>
        <v/>
      </c>
      <c r="BM82" s="49" t="str">
        <f t="shared" si="99"/>
        <v/>
      </c>
      <c r="BN82" s="49" t="str">
        <f t="shared" si="99"/>
        <v/>
      </c>
      <c r="BO82" s="49" t="str">
        <f t="shared" si="99"/>
        <v/>
      </c>
      <c r="BP82" s="49" t="str">
        <f t="shared" si="99"/>
        <v/>
      </c>
      <c r="BQ82" s="49" t="str">
        <f t="shared" si="99"/>
        <v/>
      </c>
      <c r="BR82" s="49" t="str">
        <f t="shared" si="99"/>
        <v/>
      </c>
      <c r="BS82" s="49" t="str">
        <f t="shared" si="99"/>
        <v/>
      </c>
      <c r="BT82" s="49" t="str">
        <f t="shared" si="99"/>
        <v/>
      </c>
      <c r="BU82" s="49" t="str">
        <f t="shared" si="99"/>
        <v/>
      </c>
      <c r="BV82" s="49" t="str">
        <f t="shared" si="99"/>
        <v/>
      </c>
      <c r="BW82" s="49" t="str">
        <f t="shared" si="99"/>
        <v/>
      </c>
      <c r="BX82" s="49" t="str">
        <f t="shared" si="99"/>
        <v/>
      </c>
      <c r="BY82" s="49" t="str">
        <f t="shared" si="99"/>
        <v/>
      </c>
      <c r="BZ82" s="49" t="str">
        <f t="shared" si="99"/>
        <v/>
      </c>
      <c r="CA82" s="49" t="str">
        <f t="shared" si="99"/>
        <v/>
      </c>
      <c r="CB82" s="49" t="str">
        <f t="shared" si="99"/>
        <v/>
      </c>
      <c r="CC82" s="49" t="str">
        <f t="shared" si="99"/>
        <v/>
      </c>
      <c r="CD82" s="49" t="str">
        <f t="shared" si="99"/>
        <v/>
      </c>
      <c r="CE82" s="49" t="str">
        <f t="shared" si="99"/>
        <v/>
      </c>
      <c r="CF82" s="49" t="str">
        <f t="shared" si="99"/>
        <v/>
      </c>
      <c r="CG82" s="49" t="str">
        <f t="shared" si="99"/>
        <v/>
      </c>
      <c r="CH82" s="49" t="str">
        <f t="shared" si="99"/>
        <v/>
      </c>
      <c r="CI82" s="49" t="str">
        <f t="shared" si="99"/>
        <v/>
      </c>
      <c r="CJ82" s="49" t="str">
        <f t="shared" si="99"/>
        <v/>
      </c>
      <c r="CK82" s="49" t="str">
        <f t="shared" si="99"/>
        <v/>
      </c>
      <c r="CL82" s="49" t="str">
        <f t="shared" si="99"/>
        <v/>
      </c>
      <c r="CM82" s="49" t="str">
        <f t="shared" si="99"/>
        <v/>
      </c>
      <c r="CN82" s="49" t="str">
        <f t="shared" si="99"/>
        <v/>
      </c>
      <c r="CO82" s="49" t="str">
        <f t="shared" si="99"/>
        <v/>
      </c>
      <c r="CP82" s="49" t="str">
        <f t="shared" si="99"/>
        <v/>
      </c>
      <c r="CQ82" s="49" t="str">
        <f t="shared" si="99"/>
        <v/>
      </c>
      <c r="CR82" s="49" t="str">
        <f t="shared" si="99"/>
        <v/>
      </c>
      <c r="CS82" s="49" t="str">
        <f t="shared" si="99"/>
        <v/>
      </c>
      <c r="CT82" s="49" t="str">
        <f t="shared" si="99"/>
        <v/>
      </c>
      <c r="CU82" s="49" t="str">
        <f t="shared" si="99"/>
        <v/>
      </c>
      <c r="CV82" s="49" t="str">
        <f t="shared" si="99"/>
        <v/>
      </c>
      <c r="CW82" s="49" t="str">
        <f t="shared" si="99"/>
        <v/>
      </c>
      <c r="CX82" s="49" t="str">
        <f t="shared" si="99"/>
        <v/>
      </c>
      <c r="CY82" s="49" t="str">
        <f t="shared" si="99"/>
        <v/>
      </c>
      <c r="CZ82" s="49" t="str">
        <f t="shared" si="99"/>
        <v/>
      </c>
      <c r="DA82" s="49" t="str">
        <f t="shared" si="99"/>
        <v/>
      </c>
      <c r="DB82" s="49" t="str">
        <f t="shared" si="99"/>
        <v/>
      </c>
      <c r="DC82" s="49" t="str">
        <f t="shared" si="99"/>
        <v/>
      </c>
      <c r="DD82" s="49" t="str">
        <f t="shared" si="99"/>
        <v/>
      </c>
      <c r="DE82" s="49" t="str">
        <f t="shared" si="99"/>
        <v/>
      </c>
      <c r="DF82" s="49" t="str">
        <f t="shared" si="99"/>
        <v/>
      </c>
      <c r="DG82" s="49" t="str">
        <f t="shared" si="99"/>
        <v/>
      </c>
      <c r="DH82" s="49" t="str">
        <f t="shared" si="99"/>
        <v/>
      </c>
      <c r="DI82" s="49" t="str">
        <f t="shared" si="99"/>
        <v/>
      </c>
      <c r="DJ82" s="49" t="str">
        <f t="shared" si="99"/>
        <v/>
      </c>
    </row>
    <row r="83" spans="1:114" ht="15.75" customHeight="1" x14ac:dyDescent="0.55000000000000004">
      <c r="A83" s="41" t="e">
        <f>MASANIELLO!#REF!</f>
        <v>#REF!</v>
      </c>
      <c r="B83" s="41" t="e">
        <f t="shared" si="2"/>
        <v>#VALUE!</v>
      </c>
      <c r="C83" s="42" t="e">
        <f t="shared" si="3"/>
        <v>#VALUE!</v>
      </c>
      <c r="D83" s="42" t="e">
        <f t="shared" si="4"/>
        <v>#VALUE!</v>
      </c>
      <c r="E83" s="42" t="e">
        <f t="shared" si="5"/>
        <v>#VALUE!</v>
      </c>
      <c r="F83" s="42" t="e">
        <f t="shared" si="6"/>
        <v>#VALUE!</v>
      </c>
      <c r="G83" s="50" t="e">
        <f t="shared" si="7"/>
        <v>#VALUE!</v>
      </c>
      <c r="H83" s="41" t="e">
        <f t="shared" si="8"/>
        <v>#VALUE!</v>
      </c>
      <c r="I83" s="41" t="e">
        <f t="shared" si="9"/>
        <v>#VALUE!</v>
      </c>
      <c r="J83" s="45" t="e">
        <f t="shared" si="10"/>
        <v>#VALUE!</v>
      </c>
      <c r="M83" s="48" t="b">
        <f t="shared" si="11"/>
        <v>0</v>
      </c>
      <c r="N83" s="49" t="e">
        <f t="shared" ref="N83:DJ83" si="100">IF(N$1&gt;$L$2,   "",   IF(N$1=$L$2,  1,  IF($L$2-N$1=$L$1-$M83, $L$3^($L$1-$M83), ($L$3*N84*O84/(N84+($L$3-1)*O84) ))))</f>
        <v>#DIV/0!</v>
      </c>
      <c r="O83" s="49" t="e">
        <f t="shared" si="100"/>
        <v>#DIV/0!</v>
      </c>
      <c r="P83" s="49" t="e">
        <f t="shared" si="100"/>
        <v>#DIV/0!</v>
      </c>
      <c r="Q83" s="49" t="e">
        <f t="shared" si="100"/>
        <v>#DIV/0!</v>
      </c>
      <c r="R83" s="49">
        <f t="shared" si="100"/>
        <v>1</v>
      </c>
      <c r="S83" s="49" t="str">
        <f t="shared" si="100"/>
        <v/>
      </c>
      <c r="T83" s="49" t="str">
        <f t="shared" si="100"/>
        <v/>
      </c>
      <c r="U83" s="49" t="str">
        <f t="shared" si="100"/>
        <v/>
      </c>
      <c r="V83" s="49" t="str">
        <f t="shared" si="100"/>
        <v/>
      </c>
      <c r="W83" s="49" t="str">
        <f t="shared" si="100"/>
        <v/>
      </c>
      <c r="X83" s="49" t="str">
        <f t="shared" si="100"/>
        <v/>
      </c>
      <c r="Y83" s="49" t="str">
        <f t="shared" si="100"/>
        <v/>
      </c>
      <c r="Z83" s="49" t="str">
        <f t="shared" si="100"/>
        <v/>
      </c>
      <c r="AA83" s="49" t="str">
        <f t="shared" si="100"/>
        <v/>
      </c>
      <c r="AB83" s="49" t="str">
        <f t="shared" si="100"/>
        <v/>
      </c>
      <c r="AC83" s="49" t="str">
        <f t="shared" si="100"/>
        <v/>
      </c>
      <c r="AD83" s="49" t="str">
        <f t="shared" si="100"/>
        <v/>
      </c>
      <c r="AE83" s="49" t="str">
        <f t="shared" si="100"/>
        <v/>
      </c>
      <c r="AF83" s="49" t="str">
        <f t="shared" si="100"/>
        <v/>
      </c>
      <c r="AG83" s="49" t="str">
        <f t="shared" si="100"/>
        <v/>
      </c>
      <c r="AH83" s="49" t="str">
        <f t="shared" si="100"/>
        <v/>
      </c>
      <c r="AI83" s="49" t="str">
        <f t="shared" si="100"/>
        <v/>
      </c>
      <c r="AJ83" s="49" t="str">
        <f t="shared" si="100"/>
        <v/>
      </c>
      <c r="AK83" s="49" t="str">
        <f t="shared" si="100"/>
        <v/>
      </c>
      <c r="AL83" s="49" t="str">
        <f t="shared" si="100"/>
        <v/>
      </c>
      <c r="AM83" s="49" t="str">
        <f t="shared" si="100"/>
        <v/>
      </c>
      <c r="AN83" s="49" t="str">
        <f t="shared" si="100"/>
        <v/>
      </c>
      <c r="AO83" s="49" t="str">
        <f t="shared" si="100"/>
        <v/>
      </c>
      <c r="AP83" s="49" t="str">
        <f t="shared" si="100"/>
        <v/>
      </c>
      <c r="AQ83" s="49" t="str">
        <f t="shared" si="100"/>
        <v/>
      </c>
      <c r="AR83" s="49" t="str">
        <f t="shared" si="100"/>
        <v/>
      </c>
      <c r="AS83" s="49" t="str">
        <f t="shared" si="100"/>
        <v/>
      </c>
      <c r="AT83" s="49" t="str">
        <f t="shared" si="100"/>
        <v/>
      </c>
      <c r="AU83" s="49" t="str">
        <f t="shared" si="100"/>
        <v/>
      </c>
      <c r="AV83" s="49" t="str">
        <f t="shared" si="100"/>
        <v/>
      </c>
      <c r="AW83" s="49" t="str">
        <f t="shared" si="100"/>
        <v/>
      </c>
      <c r="AX83" s="49" t="str">
        <f t="shared" si="100"/>
        <v/>
      </c>
      <c r="AY83" s="49" t="str">
        <f t="shared" si="100"/>
        <v/>
      </c>
      <c r="AZ83" s="49" t="str">
        <f t="shared" si="100"/>
        <v/>
      </c>
      <c r="BA83" s="49" t="str">
        <f t="shared" si="100"/>
        <v/>
      </c>
      <c r="BB83" s="49" t="str">
        <f t="shared" si="100"/>
        <v/>
      </c>
      <c r="BC83" s="49" t="str">
        <f t="shared" si="100"/>
        <v/>
      </c>
      <c r="BD83" s="49" t="str">
        <f t="shared" si="100"/>
        <v/>
      </c>
      <c r="BE83" s="49" t="str">
        <f t="shared" si="100"/>
        <v/>
      </c>
      <c r="BF83" s="49" t="str">
        <f t="shared" si="100"/>
        <v/>
      </c>
      <c r="BG83" s="49" t="str">
        <f t="shared" si="100"/>
        <v/>
      </c>
      <c r="BH83" s="49" t="str">
        <f t="shared" si="100"/>
        <v/>
      </c>
      <c r="BI83" s="49" t="str">
        <f t="shared" si="100"/>
        <v/>
      </c>
      <c r="BJ83" s="49" t="str">
        <f t="shared" si="100"/>
        <v/>
      </c>
      <c r="BK83" s="49" t="str">
        <f t="shared" si="100"/>
        <v/>
      </c>
      <c r="BL83" s="49" t="str">
        <f t="shared" si="100"/>
        <v/>
      </c>
      <c r="BM83" s="49" t="str">
        <f t="shared" si="100"/>
        <v/>
      </c>
      <c r="BN83" s="49" t="str">
        <f t="shared" si="100"/>
        <v/>
      </c>
      <c r="BO83" s="49" t="str">
        <f t="shared" si="100"/>
        <v/>
      </c>
      <c r="BP83" s="49" t="str">
        <f t="shared" si="100"/>
        <v/>
      </c>
      <c r="BQ83" s="49" t="str">
        <f t="shared" si="100"/>
        <v/>
      </c>
      <c r="BR83" s="49" t="str">
        <f t="shared" si="100"/>
        <v/>
      </c>
      <c r="BS83" s="49" t="str">
        <f t="shared" si="100"/>
        <v/>
      </c>
      <c r="BT83" s="49" t="str">
        <f t="shared" si="100"/>
        <v/>
      </c>
      <c r="BU83" s="49" t="str">
        <f t="shared" si="100"/>
        <v/>
      </c>
      <c r="BV83" s="49" t="str">
        <f t="shared" si="100"/>
        <v/>
      </c>
      <c r="BW83" s="49" t="str">
        <f t="shared" si="100"/>
        <v/>
      </c>
      <c r="BX83" s="49" t="str">
        <f t="shared" si="100"/>
        <v/>
      </c>
      <c r="BY83" s="49" t="str">
        <f t="shared" si="100"/>
        <v/>
      </c>
      <c r="BZ83" s="49" t="str">
        <f t="shared" si="100"/>
        <v/>
      </c>
      <c r="CA83" s="49" t="str">
        <f t="shared" si="100"/>
        <v/>
      </c>
      <c r="CB83" s="49" t="str">
        <f t="shared" si="100"/>
        <v/>
      </c>
      <c r="CC83" s="49" t="str">
        <f t="shared" si="100"/>
        <v/>
      </c>
      <c r="CD83" s="49" t="str">
        <f t="shared" si="100"/>
        <v/>
      </c>
      <c r="CE83" s="49" t="str">
        <f t="shared" si="100"/>
        <v/>
      </c>
      <c r="CF83" s="49" t="str">
        <f t="shared" si="100"/>
        <v/>
      </c>
      <c r="CG83" s="49" t="str">
        <f t="shared" si="100"/>
        <v/>
      </c>
      <c r="CH83" s="49" t="str">
        <f t="shared" si="100"/>
        <v/>
      </c>
      <c r="CI83" s="49" t="str">
        <f t="shared" si="100"/>
        <v/>
      </c>
      <c r="CJ83" s="49" t="str">
        <f t="shared" si="100"/>
        <v/>
      </c>
      <c r="CK83" s="49" t="str">
        <f t="shared" si="100"/>
        <v/>
      </c>
      <c r="CL83" s="49" t="str">
        <f t="shared" si="100"/>
        <v/>
      </c>
      <c r="CM83" s="49" t="str">
        <f t="shared" si="100"/>
        <v/>
      </c>
      <c r="CN83" s="49" t="str">
        <f t="shared" si="100"/>
        <v/>
      </c>
      <c r="CO83" s="49" t="str">
        <f t="shared" si="100"/>
        <v/>
      </c>
      <c r="CP83" s="49" t="str">
        <f t="shared" si="100"/>
        <v/>
      </c>
      <c r="CQ83" s="49" t="str">
        <f t="shared" si="100"/>
        <v/>
      </c>
      <c r="CR83" s="49" t="str">
        <f t="shared" si="100"/>
        <v/>
      </c>
      <c r="CS83" s="49" t="str">
        <f t="shared" si="100"/>
        <v/>
      </c>
      <c r="CT83" s="49" t="str">
        <f t="shared" si="100"/>
        <v/>
      </c>
      <c r="CU83" s="49" t="str">
        <f t="shared" si="100"/>
        <v/>
      </c>
      <c r="CV83" s="49" t="str">
        <f t="shared" si="100"/>
        <v/>
      </c>
      <c r="CW83" s="49" t="str">
        <f t="shared" si="100"/>
        <v/>
      </c>
      <c r="CX83" s="49" t="str">
        <f t="shared" si="100"/>
        <v/>
      </c>
      <c r="CY83" s="49" t="str">
        <f t="shared" si="100"/>
        <v/>
      </c>
      <c r="CZ83" s="49" t="str">
        <f t="shared" si="100"/>
        <v/>
      </c>
      <c r="DA83" s="49" t="str">
        <f t="shared" si="100"/>
        <v/>
      </c>
      <c r="DB83" s="49" t="str">
        <f t="shared" si="100"/>
        <v/>
      </c>
      <c r="DC83" s="49" t="str">
        <f t="shared" si="100"/>
        <v/>
      </c>
      <c r="DD83" s="49" t="str">
        <f t="shared" si="100"/>
        <v/>
      </c>
      <c r="DE83" s="49" t="str">
        <f t="shared" si="100"/>
        <v/>
      </c>
      <c r="DF83" s="49" t="str">
        <f t="shared" si="100"/>
        <v/>
      </c>
      <c r="DG83" s="49" t="str">
        <f t="shared" si="100"/>
        <v/>
      </c>
      <c r="DH83" s="49" t="str">
        <f t="shared" si="100"/>
        <v/>
      </c>
      <c r="DI83" s="49" t="str">
        <f t="shared" si="100"/>
        <v/>
      </c>
      <c r="DJ83" s="49" t="str">
        <f t="shared" si="100"/>
        <v/>
      </c>
    </row>
    <row r="84" spans="1:114" ht="15.75" customHeight="1" x14ac:dyDescent="0.55000000000000004">
      <c r="A84" s="41" t="e">
        <f>MASANIELLO!#REF!</f>
        <v>#REF!</v>
      </c>
      <c r="B84" s="41" t="e">
        <f t="shared" si="2"/>
        <v>#VALUE!</v>
      </c>
      <c r="C84" s="42" t="e">
        <f t="shared" si="3"/>
        <v>#VALUE!</v>
      </c>
      <c r="D84" s="42" t="e">
        <f t="shared" si="4"/>
        <v>#VALUE!</v>
      </c>
      <c r="E84" s="42" t="e">
        <f t="shared" si="5"/>
        <v>#VALUE!</v>
      </c>
      <c r="F84" s="42" t="e">
        <f t="shared" si="6"/>
        <v>#VALUE!</v>
      </c>
      <c r="G84" s="50" t="e">
        <f t="shared" si="7"/>
        <v>#VALUE!</v>
      </c>
      <c r="H84" s="41" t="e">
        <f t="shared" si="8"/>
        <v>#VALUE!</v>
      </c>
      <c r="I84" s="41" t="e">
        <f t="shared" si="9"/>
        <v>#VALUE!</v>
      </c>
      <c r="J84" s="45" t="e">
        <f t="shared" si="10"/>
        <v>#VALUE!</v>
      </c>
      <c r="M84" s="48" t="b">
        <f t="shared" si="11"/>
        <v>0</v>
      </c>
      <c r="N84" s="49" t="e">
        <f t="shared" ref="N84:DJ84" si="101">IF(N$1&gt;$L$2,   "",   IF(N$1=$L$2,  1,  IF($L$2-N$1=$L$1-$M84, $L$3^($L$1-$M84), ($L$3*N85*O85/(N85+($L$3-1)*O85) ))))</f>
        <v>#DIV/0!</v>
      </c>
      <c r="O84" s="49" t="e">
        <f t="shared" si="101"/>
        <v>#DIV/0!</v>
      </c>
      <c r="P84" s="49" t="e">
        <f t="shared" si="101"/>
        <v>#DIV/0!</v>
      </c>
      <c r="Q84" s="49" t="e">
        <f t="shared" si="101"/>
        <v>#DIV/0!</v>
      </c>
      <c r="R84" s="49">
        <f t="shared" si="101"/>
        <v>1</v>
      </c>
      <c r="S84" s="49" t="str">
        <f t="shared" si="101"/>
        <v/>
      </c>
      <c r="T84" s="49" t="str">
        <f t="shared" si="101"/>
        <v/>
      </c>
      <c r="U84" s="49" t="str">
        <f t="shared" si="101"/>
        <v/>
      </c>
      <c r="V84" s="49" t="str">
        <f t="shared" si="101"/>
        <v/>
      </c>
      <c r="W84" s="49" t="str">
        <f t="shared" si="101"/>
        <v/>
      </c>
      <c r="X84" s="49" t="str">
        <f t="shared" si="101"/>
        <v/>
      </c>
      <c r="Y84" s="49" t="str">
        <f t="shared" si="101"/>
        <v/>
      </c>
      <c r="Z84" s="49" t="str">
        <f t="shared" si="101"/>
        <v/>
      </c>
      <c r="AA84" s="49" t="str">
        <f t="shared" si="101"/>
        <v/>
      </c>
      <c r="AB84" s="49" t="str">
        <f t="shared" si="101"/>
        <v/>
      </c>
      <c r="AC84" s="49" t="str">
        <f t="shared" si="101"/>
        <v/>
      </c>
      <c r="AD84" s="49" t="str">
        <f t="shared" si="101"/>
        <v/>
      </c>
      <c r="AE84" s="49" t="str">
        <f t="shared" si="101"/>
        <v/>
      </c>
      <c r="AF84" s="49" t="str">
        <f t="shared" si="101"/>
        <v/>
      </c>
      <c r="AG84" s="49" t="str">
        <f t="shared" si="101"/>
        <v/>
      </c>
      <c r="AH84" s="49" t="str">
        <f t="shared" si="101"/>
        <v/>
      </c>
      <c r="AI84" s="49" t="str">
        <f t="shared" si="101"/>
        <v/>
      </c>
      <c r="AJ84" s="49" t="str">
        <f t="shared" si="101"/>
        <v/>
      </c>
      <c r="AK84" s="49" t="str">
        <f t="shared" si="101"/>
        <v/>
      </c>
      <c r="AL84" s="49" t="str">
        <f t="shared" si="101"/>
        <v/>
      </c>
      <c r="AM84" s="49" t="str">
        <f t="shared" si="101"/>
        <v/>
      </c>
      <c r="AN84" s="49" t="str">
        <f t="shared" si="101"/>
        <v/>
      </c>
      <c r="AO84" s="49" t="str">
        <f t="shared" si="101"/>
        <v/>
      </c>
      <c r="AP84" s="49" t="str">
        <f t="shared" si="101"/>
        <v/>
      </c>
      <c r="AQ84" s="49" t="str">
        <f t="shared" si="101"/>
        <v/>
      </c>
      <c r="AR84" s="49" t="str">
        <f t="shared" si="101"/>
        <v/>
      </c>
      <c r="AS84" s="49" t="str">
        <f t="shared" si="101"/>
        <v/>
      </c>
      <c r="AT84" s="49" t="str">
        <f t="shared" si="101"/>
        <v/>
      </c>
      <c r="AU84" s="49" t="str">
        <f t="shared" si="101"/>
        <v/>
      </c>
      <c r="AV84" s="49" t="str">
        <f t="shared" si="101"/>
        <v/>
      </c>
      <c r="AW84" s="49" t="str">
        <f t="shared" si="101"/>
        <v/>
      </c>
      <c r="AX84" s="49" t="str">
        <f t="shared" si="101"/>
        <v/>
      </c>
      <c r="AY84" s="49" t="str">
        <f t="shared" si="101"/>
        <v/>
      </c>
      <c r="AZ84" s="49" t="str">
        <f t="shared" si="101"/>
        <v/>
      </c>
      <c r="BA84" s="49" t="str">
        <f t="shared" si="101"/>
        <v/>
      </c>
      <c r="BB84" s="49" t="str">
        <f t="shared" si="101"/>
        <v/>
      </c>
      <c r="BC84" s="49" t="str">
        <f t="shared" si="101"/>
        <v/>
      </c>
      <c r="BD84" s="49" t="str">
        <f t="shared" si="101"/>
        <v/>
      </c>
      <c r="BE84" s="49" t="str">
        <f t="shared" si="101"/>
        <v/>
      </c>
      <c r="BF84" s="49" t="str">
        <f t="shared" si="101"/>
        <v/>
      </c>
      <c r="BG84" s="49" t="str">
        <f t="shared" si="101"/>
        <v/>
      </c>
      <c r="BH84" s="49" t="str">
        <f t="shared" si="101"/>
        <v/>
      </c>
      <c r="BI84" s="49" t="str">
        <f t="shared" si="101"/>
        <v/>
      </c>
      <c r="BJ84" s="49" t="str">
        <f t="shared" si="101"/>
        <v/>
      </c>
      <c r="BK84" s="49" t="str">
        <f t="shared" si="101"/>
        <v/>
      </c>
      <c r="BL84" s="49" t="str">
        <f t="shared" si="101"/>
        <v/>
      </c>
      <c r="BM84" s="49" t="str">
        <f t="shared" si="101"/>
        <v/>
      </c>
      <c r="BN84" s="49" t="str">
        <f t="shared" si="101"/>
        <v/>
      </c>
      <c r="BO84" s="49" t="str">
        <f t="shared" si="101"/>
        <v/>
      </c>
      <c r="BP84" s="49" t="str">
        <f t="shared" si="101"/>
        <v/>
      </c>
      <c r="BQ84" s="49" t="str">
        <f t="shared" si="101"/>
        <v/>
      </c>
      <c r="BR84" s="49" t="str">
        <f t="shared" si="101"/>
        <v/>
      </c>
      <c r="BS84" s="49" t="str">
        <f t="shared" si="101"/>
        <v/>
      </c>
      <c r="BT84" s="49" t="str">
        <f t="shared" si="101"/>
        <v/>
      </c>
      <c r="BU84" s="49" t="str">
        <f t="shared" si="101"/>
        <v/>
      </c>
      <c r="BV84" s="49" t="str">
        <f t="shared" si="101"/>
        <v/>
      </c>
      <c r="BW84" s="49" t="str">
        <f t="shared" si="101"/>
        <v/>
      </c>
      <c r="BX84" s="49" t="str">
        <f t="shared" si="101"/>
        <v/>
      </c>
      <c r="BY84" s="49" t="str">
        <f t="shared" si="101"/>
        <v/>
      </c>
      <c r="BZ84" s="49" t="str">
        <f t="shared" si="101"/>
        <v/>
      </c>
      <c r="CA84" s="49" t="str">
        <f t="shared" si="101"/>
        <v/>
      </c>
      <c r="CB84" s="49" t="str">
        <f t="shared" si="101"/>
        <v/>
      </c>
      <c r="CC84" s="49" t="str">
        <f t="shared" si="101"/>
        <v/>
      </c>
      <c r="CD84" s="49" t="str">
        <f t="shared" si="101"/>
        <v/>
      </c>
      <c r="CE84" s="49" t="str">
        <f t="shared" si="101"/>
        <v/>
      </c>
      <c r="CF84" s="49" t="str">
        <f t="shared" si="101"/>
        <v/>
      </c>
      <c r="CG84" s="49" t="str">
        <f t="shared" si="101"/>
        <v/>
      </c>
      <c r="CH84" s="49" t="str">
        <f t="shared" si="101"/>
        <v/>
      </c>
      <c r="CI84" s="49" t="str">
        <f t="shared" si="101"/>
        <v/>
      </c>
      <c r="CJ84" s="49" t="str">
        <f t="shared" si="101"/>
        <v/>
      </c>
      <c r="CK84" s="49" t="str">
        <f t="shared" si="101"/>
        <v/>
      </c>
      <c r="CL84" s="49" t="str">
        <f t="shared" si="101"/>
        <v/>
      </c>
      <c r="CM84" s="49" t="str">
        <f t="shared" si="101"/>
        <v/>
      </c>
      <c r="CN84" s="49" t="str">
        <f t="shared" si="101"/>
        <v/>
      </c>
      <c r="CO84" s="49" t="str">
        <f t="shared" si="101"/>
        <v/>
      </c>
      <c r="CP84" s="49" t="str">
        <f t="shared" si="101"/>
        <v/>
      </c>
      <c r="CQ84" s="49" t="str">
        <f t="shared" si="101"/>
        <v/>
      </c>
      <c r="CR84" s="49" t="str">
        <f t="shared" si="101"/>
        <v/>
      </c>
      <c r="CS84" s="49" t="str">
        <f t="shared" si="101"/>
        <v/>
      </c>
      <c r="CT84" s="49" t="str">
        <f t="shared" si="101"/>
        <v/>
      </c>
      <c r="CU84" s="49" t="str">
        <f t="shared" si="101"/>
        <v/>
      </c>
      <c r="CV84" s="49" t="str">
        <f t="shared" si="101"/>
        <v/>
      </c>
      <c r="CW84" s="49" t="str">
        <f t="shared" si="101"/>
        <v/>
      </c>
      <c r="CX84" s="49" t="str">
        <f t="shared" si="101"/>
        <v/>
      </c>
      <c r="CY84" s="49" t="str">
        <f t="shared" si="101"/>
        <v/>
      </c>
      <c r="CZ84" s="49" t="str">
        <f t="shared" si="101"/>
        <v/>
      </c>
      <c r="DA84" s="49" t="str">
        <f t="shared" si="101"/>
        <v/>
      </c>
      <c r="DB84" s="49" t="str">
        <f t="shared" si="101"/>
        <v/>
      </c>
      <c r="DC84" s="49" t="str">
        <f t="shared" si="101"/>
        <v/>
      </c>
      <c r="DD84" s="49" t="str">
        <f t="shared" si="101"/>
        <v/>
      </c>
      <c r="DE84" s="49" t="str">
        <f t="shared" si="101"/>
        <v/>
      </c>
      <c r="DF84" s="49" t="str">
        <f t="shared" si="101"/>
        <v/>
      </c>
      <c r="DG84" s="49" t="str">
        <f t="shared" si="101"/>
        <v/>
      </c>
      <c r="DH84" s="49" t="str">
        <f t="shared" si="101"/>
        <v/>
      </c>
      <c r="DI84" s="49" t="str">
        <f t="shared" si="101"/>
        <v/>
      </c>
      <c r="DJ84" s="49" t="str">
        <f t="shared" si="101"/>
        <v/>
      </c>
    </row>
    <row r="85" spans="1:114" ht="15.75" customHeight="1" x14ac:dyDescent="0.55000000000000004">
      <c r="A85" s="41" t="e">
        <f>MASANIELLO!#REF!</f>
        <v>#REF!</v>
      </c>
      <c r="B85" s="41" t="e">
        <f t="shared" si="2"/>
        <v>#VALUE!</v>
      </c>
      <c r="C85" s="42" t="e">
        <f t="shared" si="3"/>
        <v>#VALUE!</v>
      </c>
      <c r="D85" s="42" t="e">
        <f t="shared" si="4"/>
        <v>#VALUE!</v>
      </c>
      <c r="E85" s="42" t="e">
        <f t="shared" si="5"/>
        <v>#VALUE!</v>
      </c>
      <c r="F85" s="42" t="e">
        <f t="shared" si="6"/>
        <v>#VALUE!</v>
      </c>
      <c r="G85" s="50" t="e">
        <f t="shared" si="7"/>
        <v>#VALUE!</v>
      </c>
      <c r="H85" s="41" t="e">
        <f t="shared" si="8"/>
        <v>#VALUE!</v>
      </c>
      <c r="I85" s="41" t="e">
        <f t="shared" si="9"/>
        <v>#VALUE!</v>
      </c>
      <c r="J85" s="45" t="e">
        <f t="shared" si="10"/>
        <v>#VALUE!</v>
      </c>
      <c r="M85" s="48" t="b">
        <f t="shared" si="11"/>
        <v>0</v>
      </c>
      <c r="N85" s="49" t="e">
        <f t="shared" ref="N85:DJ85" si="102">IF(N$1&gt;$L$2,   "",   IF(N$1=$L$2,  1,  IF($L$2-N$1=$L$1-$M85, $L$3^($L$1-$M85), ($L$3*N86*O86/(N86+($L$3-1)*O86) ))))</f>
        <v>#DIV/0!</v>
      </c>
      <c r="O85" s="49" t="e">
        <f t="shared" si="102"/>
        <v>#DIV/0!</v>
      </c>
      <c r="P85" s="49" t="e">
        <f t="shared" si="102"/>
        <v>#DIV/0!</v>
      </c>
      <c r="Q85" s="49" t="e">
        <f t="shared" si="102"/>
        <v>#DIV/0!</v>
      </c>
      <c r="R85" s="49">
        <f t="shared" si="102"/>
        <v>1</v>
      </c>
      <c r="S85" s="49" t="str">
        <f t="shared" si="102"/>
        <v/>
      </c>
      <c r="T85" s="49" t="str">
        <f t="shared" si="102"/>
        <v/>
      </c>
      <c r="U85" s="49" t="str">
        <f t="shared" si="102"/>
        <v/>
      </c>
      <c r="V85" s="49" t="str">
        <f t="shared" si="102"/>
        <v/>
      </c>
      <c r="W85" s="49" t="str">
        <f t="shared" si="102"/>
        <v/>
      </c>
      <c r="X85" s="49" t="str">
        <f t="shared" si="102"/>
        <v/>
      </c>
      <c r="Y85" s="49" t="str">
        <f t="shared" si="102"/>
        <v/>
      </c>
      <c r="Z85" s="49" t="str">
        <f t="shared" si="102"/>
        <v/>
      </c>
      <c r="AA85" s="49" t="str">
        <f t="shared" si="102"/>
        <v/>
      </c>
      <c r="AB85" s="49" t="str">
        <f t="shared" si="102"/>
        <v/>
      </c>
      <c r="AC85" s="49" t="str">
        <f t="shared" si="102"/>
        <v/>
      </c>
      <c r="AD85" s="49" t="str">
        <f t="shared" si="102"/>
        <v/>
      </c>
      <c r="AE85" s="49" t="str">
        <f t="shared" si="102"/>
        <v/>
      </c>
      <c r="AF85" s="49" t="str">
        <f t="shared" si="102"/>
        <v/>
      </c>
      <c r="AG85" s="49" t="str">
        <f t="shared" si="102"/>
        <v/>
      </c>
      <c r="AH85" s="49" t="str">
        <f t="shared" si="102"/>
        <v/>
      </c>
      <c r="AI85" s="49" t="str">
        <f t="shared" si="102"/>
        <v/>
      </c>
      <c r="AJ85" s="49" t="str">
        <f t="shared" si="102"/>
        <v/>
      </c>
      <c r="AK85" s="49" t="str">
        <f t="shared" si="102"/>
        <v/>
      </c>
      <c r="AL85" s="49" t="str">
        <f t="shared" si="102"/>
        <v/>
      </c>
      <c r="AM85" s="49" t="str">
        <f t="shared" si="102"/>
        <v/>
      </c>
      <c r="AN85" s="49" t="str">
        <f t="shared" si="102"/>
        <v/>
      </c>
      <c r="AO85" s="49" t="str">
        <f t="shared" si="102"/>
        <v/>
      </c>
      <c r="AP85" s="49" t="str">
        <f t="shared" si="102"/>
        <v/>
      </c>
      <c r="AQ85" s="49" t="str">
        <f t="shared" si="102"/>
        <v/>
      </c>
      <c r="AR85" s="49" t="str">
        <f t="shared" si="102"/>
        <v/>
      </c>
      <c r="AS85" s="49" t="str">
        <f t="shared" si="102"/>
        <v/>
      </c>
      <c r="AT85" s="49" t="str">
        <f t="shared" si="102"/>
        <v/>
      </c>
      <c r="AU85" s="49" t="str">
        <f t="shared" si="102"/>
        <v/>
      </c>
      <c r="AV85" s="49" t="str">
        <f t="shared" si="102"/>
        <v/>
      </c>
      <c r="AW85" s="49" t="str">
        <f t="shared" si="102"/>
        <v/>
      </c>
      <c r="AX85" s="49" t="str">
        <f t="shared" si="102"/>
        <v/>
      </c>
      <c r="AY85" s="49" t="str">
        <f t="shared" si="102"/>
        <v/>
      </c>
      <c r="AZ85" s="49" t="str">
        <f t="shared" si="102"/>
        <v/>
      </c>
      <c r="BA85" s="49" t="str">
        <f t="shared" si="102"/>
        <v/>
      </c>
      <c r="BB85" s="49" t="str">
        <f t="shared" si="102"/>
        <v/>
      </c>
      <c r="BC85" s="49" t="str">
        <f t="shared" si="102"/>
        <v/>
      </c>
      <c r="BD85" s="49" t="str">
        <f t="shared" si="102"/>
        <v/>
      </c>
      <c r="BE85" s="49" t="str">
        <f t="shared" si="102"/>
        <v/>
      </c>
      <c r="BF85" s="49" t="str">
        <f t="shared" si="102"/>
        <v/>
      </c>
      <c r="BG85" s="49" t="str">
        <f t="shared" si="102"/>
        <v/>
      </c>
      <c r="BH85" s="49" t="str">
        <f t="shared" si="102"/>
        <v/>
      </c>
      <c r="BI85" s="49" t="str">
        <f t="shared" si="102"/>
        <v/>
      </c>
      <c r="BJ85" s="49" t="str">
        <f t="shared" si="102"/>
        <v/>
      </c>
      <c r="BK85" s="49" t="str">
        <f t="shared" si="102"/>
        <v/>
      </c>
      <c r="BL85" s="49" t="str">
        <f t="shared" si="102"/>
        <v/>
      </c>
      <c r="BM85" s="49" t="str">
        <f t="shared" si="102"/>
        <v/>
      </c>
      <c r="BN85" s="49" t="str">
        <f t="shared" si="102"/>
        <v/>
      </c>
      <c r="BO85" s="49" t="str">
        <f t="shared" si="102"/>
        <v/>
      </c>
      <c r="BP85" s="49" t="str">
        <f t="shared" si="102"/>
        <v/>
      </c>
      <c r="BQ85" s="49" t="str">
        <f t="shared" si="102"/>
        <v/>
      </c>
      <c r="BR85" s="49" t="str">
        <f t="shared" si="102"/>
        <v/>
      </c>
      <c r="BS85" s="49" t="str">
        <f t="shared" si="102"/>
        <v/>
      </c>
      <c r="BT85" s="49" t="str">
        <f t="shared" si="102"/>
        <v/>
      </c>
      <c r="BU85" s="49" t="str">
        <f t="shared" si="102"/>
        <v/>
      </c>
      <c r="BV85" s="49" t="str">
        <f t="shared" si="102"/>
        <v/>
      </c>
      <c r="BW85" s="49" t="str">
        <f t="shared" si="102"/>
        <v/>
      </c>
      <c r="BX85" s="49" t="str">
        <f t="shared" si="102"/>
        <v/>
      </c>
      <c r="BY85" s="49" t="str">
        <f t="shared" si="102"/>
        <v/>
      </c>
      <c r="BZ85" s="49" t="str">
        <f t="shared" si="102"/>
        <v/>
      </c>
      <c r="CA85" s="49" t="str">
        <f t="shared" si="102"/>
        <v/>
      </c>
      <c r="CB85" s="49" t="str">
        <f t="shared" si="102"/>
        <v/>
      </c>
      <c r="CC85" s="49" t="str">
        <f t="shared" si="102"/>
        <v/>
      </c>
      <c r="CD85" s="49" t="str">
        <f t="shared" si="102"/>
        <v/>
      </c>
      <c r="CE85" s="49" t="str">
        <f t="shared" si="102"/>
        <v/>
      </c>
      <c r="CF85" s="49" t="str">
        <f t="shared" si="102"/>
        <v/>
      </c>
      <c r="CG85" s="49" t="str">
        <f t="shared" si="102"/>
        <v/>
      </c>
      <c r="CH85" s="49" t="str">
        <f t="shared" si="102"/>
        <v/>
      </c>
      <c r="CI85" s="49" t="str">
        <f t="shared" si="102"/>
        <v/>
      </c>
      <c r="CJ85" s="49" t="str">
        <f t="shared" si="102"/>
        <v/>
      </c>
      <c r="CK85" s="49" t="str">
        <f t="shared" si="102"/>
        <v/>
      </c>
      <c r="CL85" s="49" t="str">
        <f t="shared" si="102"/>
        <v/>
      </c>
      <c r="CM85" s="49" t="str">
        <f t="shared" si="102"/>
        <v/>
      </c>
      <c r="CN85" s="49" t="str">
        <f t="shared" si="102"/>
        <v/>
      </c>
      <c r="CO85" s="49" t="str">
        <f t="shared" si="102"/>
        <v/>
      </c>
      <c r="CP85" s="49" t="str">
        <f t="shared" si="102"/>
        <v/>
      </c>
      <c r="CQ85" s="49" t="str">
        <f t="shared" si="102"/>
        <v/>
      </c>
      <c r="CR85" s="49" t="str">
        <f t="shared" si="102"/>
        <v/>
      </c>
      <c r="CS85" s="49" t="str">
        <f t="shared" si="102"/>
        <v/>
      </c>
      <c r="CT85" s="49" t="str">
        <f t="shared" si="102"/>
        <v/>
      </c>
      <c r="CU85" s="49" t="str">
        <f t="shared" si="102"/>
        <v/>
      </c>
      <c r="CV85" s="49" t="str">
        <f t="shared" si="102"/>
        <v/>
      </c>
      <c r="CW85" s="49" t="str">
        <f t="shared" si="102"/>
        <v/>
      </c>
      <c r="CX85" s="49" t="str">
        <f t="shared" si="102"/>
        <v/>
      </c>
      <c r="CY85" s="49" t="str">
        <f t="shared" si="102"/>
        <v/>
      </c>
      <c r="CZ85" s="49" t="str">
        <f t="shared" si="102"/>
        <v/>
      </c>
      <c r="DA85" s="49" t="str">
        <f t="shared" si="102"/>
        <v/>
      </c>
      <c r="DB85" s="49" t="str">
        <f t="shared" si="102"/>
        <v/>
      </c>
      <c r="DC85" s="49" t="str">
        <f t="shared" si="102"/>
        <v/>
      </c>
      <c r="DD85" s="49" t="str">
        <f t="shared" si="102"/>
        <v/>
      </c>
      <c r="DE85" s="49" t="str">
        <f t="shared" si="102"/>
        <v/>
      </c>
      <c r="DF85" s="49" t="str">
        <f t="shared" si="102"/>
        <v/>
      </c>
      <c r="DG85" s="49" t="str">
        <f t="shared" si="102"/>
        <v/>
      </c>
      <c r="DH85" s="49" t="str">
        <f t="shared" si="102"/>
        <v/>
      </c>
      <c r="DI85" s="49" t="str">
        <f t="shared" si="102"/>
        <v/>
      </c>
      <c r="DJ85" s="49" t="str">
        <f t="shared" si="102"/>
        <v/>
      </c>
    </row>
    <row r="86" spans="1:114" ht="15.75" customHeight="1" x14ac:dyDescent="0.55000000000000004">
      <c r="A86" s="41" t="e">
        <f>MASANIELLO!#REF!</f>
        <v>#REF!</v>
      </c>
      <c r="B86" s="41" t="e">
        <f t="shared" si="2"/>
        <v>#VALUE!</v>
      </c>
      <c r="C86" s="42" t="e">
        <f t="shared" si="3"/>
        <v>#VALUE!</v>
      </c>
      <c r="D86" s="42" t="e">
        <f t="shared" si="4"/>
        <v>#VALUE!</v>
      </c>
      <c r="E86" s="42" t="e">
        <f t="shared" si="5"/>
        <v>#VALUE!</v>
      </c>
      <c r="F86" s="42" t="e">
        <f t="shared" si="6"/>
        <v>#VALUE!</v>
      </c>
      <c r="G86" s="50" t="e">
        <f t="shared" si="7"/>
        <v>#VALUE!</v>
      </c>
      <c r="H86" s="41" t="e">
        <f t="shared" si="8"/>
        <v>#VALUE!</v>
      </c>
      <c r="I86" s="41" t="e">
        <f t="shared" si="9"/>
        <v>#VALUE!</v>
      </c>
      <c r="J86" s="45" t="e">
        <f t="shared" si="10"/>
        <v>#VALUE!</v>
      </c>
      <c r="M86" s="48" t="b">
        <f t="shared" si="11"/>
        <v>0</v>
      </c>
      <c r="N86" s="49" t="e">
        <f t="shared" ref="N86:DJ86" si="103">IF(N$1&gt;$L$2,   "",   IF(N$1=$L$2,  1,  IF($L$2-N$1=$L$1-$M86, $L$3^($L$1-$M86), ($L$3*N87*O87/(N87+($L$3-1)*O87) ))))</f>
        <v>#DIV/0!</v>
      </c>
      <c r="O86" s="49" t="e">
        <f t="shared" si="103"/>
        <v>#DIV/0!</v>
      </c>
      <c r="P86" s="49" t="e">
        <f t="shared" si="103"/>
        <v>#DIV/0!</v>
      </c>
      <c r="Q86" s="49" t="e">
        <f t="shared" si="103"/>
        <v>#DIV/0!</v>
      </c>
      <c r="R86" s="49">
        <f t="shared" si="103"/>
        <v>1</v>
      </c>
      <c r="S86" s="49" t="str">
        <f t="shared" si="103"/>
        <v/>
      </c>
      <c r="T86" s="49" t="str">
        <f t="shared" si="103"/>
        <v/>
      </c>
      <c r="U86" s="49" t="str">
        <f t="shared" si="103"/>
        <v/>
      </c>
      <c r="V86" s="49" t="str">
        <f t="shared" si="103"/>
        <v/>
      </c>
      <c r="W86" s="49" t="str">
        <f t="shared" si="103"/>
        <v/>
      </c>
      <c r="X86" s="49" t="str">
        <f t="shared" si="103"/>
        <v/>
      </c>
      <c r="Y86" s="49" t="str">
        <f t="shared" si="103"/>
        <v/>
      </c>
      <c r="Z86" s="49" t="str">
        <f t="shared" si="103"/>
        <v/>
      </c>
      <c r="AA86" s="49" t="str">
        <f t="shared" si="103"/>
        <v/>
      </c>
      <c r="AB86" s="49" t="str">
        <f t="shared" si="103"/>
        <v/>
      </c>
      <c r="AC86" s="49" t="str">
        <f t="shared" si="103"/>
        <v/>
      </c>
      <c r="AD86" s="49" t="str">
        <f t="shared" si="103"/>
        <v/>
      </c>
      <c r="AE86" s="49" t="str">
        <f t="shared" si="103"/>
        <v/>
      </c>
      <c r="AF86" s="49" t="str">
        <f t="shared" si="103"/>
        <v/>
      </c>
      <c r="AG86" s="49" t="str">
        <f t="shared" si="103"/>
        <v/>
      </c>
      <c r="AH86" s="49" t="str">
        <f t="shared" si="103"/>
        <v/>
      </c>
      <c r="AI86" s="49" t="str">
        <f t="shared" si="103"/>
        <v/>
      </c>
      <c r="AJ86" s="49" t="str">
        <f t="shared" si="103"/>
        <v/>
      </c>
      <c r="AK86" s="49" t="str">
        <f t="shared" si="103"/>
        <v/>
      </c>
      <c r="AL86" s="49" t="str">
        <f t="shared" si="103"/>
        <v/>
      </c>
      <c r="AM86" s="49" t="str">
        <f t="shared" si="103"/>
        <v/>
      </c>
      <c r="AN86" s="49" t="str">
        <f t="shared" si="103"/>
        <v/>
      </c>
      <c r="AO86" s="49" t="str">
        <f t="shared" si="103"/>
        <v/>
      </c>
      <c r="AP86" s="49" t="str">
        <f t="shared" si="103"/>
        <v/>
      </c>
      <c r="AQ86" s="49" t="str">
        <f t="shared" si="103"/>
        <v/>
      </c>
      <c r="AR86" s="49" t="str">
        <f t="shared" si="103"/>
        <v/>
      </c>
      <c r="AS86" s="49" t="str">
        <f t="shared" si="103"/>
        <v/>
      </c>
      <c r="AT86" s="49" t="str">
        <f t="shared" si="103"/>
        <v/>
      </c>
      <c r="AU86" s="49" t="str">
        <f t="shared" si="103"/>
        <v/>
      </c>
      <c r="AV86" s="49" t="str">
        <f t="shared" si="103"/>
        <v/>
      </c>
      <c r="AW86" s="49" t="str">
        <f t="shared" si="103"/>
        <v/>
      </c>
      <c r="AX86" s="49" t="str">
        <f t="shared" si="103"/>
        <v/>
      </c>
      <c r="AY86" s="49" t="str">
        <f t="shared" si="103"/>
        <v/>
      </c>
      <c r="AZ86" s="49" t="str">
        <f t="shared" si="103"/>
        <v/>
      </c>
      <c r="BA86" s="49" t="str">
        <f t="shared" si="103"/>
        <v/>
      </c>
      <c r="BB86" s="49" t="str">
        <f t="shared" si="103"/>
        <v/>
      </c>
      <c r="BC86" s="49" t="str">
        <f t="shared" si="103"/>
        <v/>
      </c>
      <c r="BD86" s="49" t="str">
        <f t="shared" si="103"/>
        <v/>
      </c>
      <c r="BE86" s="49" t="str">
        <f t="shared" si="103"/>
        <v/>
      </c>
      <c r="BF86" s="49" t="str">
        <f t="shared" si="103"/>
        <v/>
      </c>
      <c r="BG86" s="49" t="str">
        <f t="shared" si="103"/>
        <v/>
      </c>
      <c r="BH86" s="49" t="str">
        <f t="shared" si="103"/>
        <v/>
      </c>
      <c r="BI86" s="49" t="str">
        <f t="shared" si="103"/>
        <v/>
      </c>
      <c r="BJ86" s="49" t="str">
        <f t="shared" si="103"/>
        <v/>
      </c>
      <c r="BK86" s="49" t="str">
        <f t="shared" si="103"/>
        <v/>
      </c>
      <c r="BL86" s="49" t="str">
        <f t="shared" si="103"/>
        <v/>
      </c>
      <c r="BM86" s="49" t="str">
        <f t="shared" si="103"/>
        <v/>
      </c>
      <c r="BN86" s="49" t="str">
        <f t="shared" si="103"/>
        <v/>
      </c>
      <c r="BO86" s="49" t="str">
        <f t="shared" si="103"/>
        <v/>
      </c>
      <c r="BP86" s="49" t="str">
        <f t="shared" si="103"/>
        <v/>
      </c>
      <c r="BQ86" s="49" t="str">
        <f t="shared" si="103"/>
        <v/>
      </c>
      <c r="BR86" s="49" t="str">
        <f t="shared" si="103"/>
        <v/>
      </c>
      <c r="BS86" s="49" t="str">
        <f t="shared" si="103"/>
        <v/>
      </c>
      <c r="BT86" s="49" t="str">
        <f t="shared" si="103"/>
        <v/>
      </c>
      <c r="BU86" s="49" t="str">
        <f t="shared" si="103"/>
        <v/>
      </c>
      <c r="BV86" s="49" t="str">
        <f t="shared" si="103"/>
        <v/>
      </c>
      <c r="BW86" s="49" t="str">
        <f t="shared" si="103"/>
        <v/>
      </c>
      <c r="BX86" s="49" t="str">
        <f t="shared" si="103"/>
        <v/>
      </c>
      <c r="BY86" s="49" t="str">
        <f t="shared" si="103"/>
        <v/>
      </c>
      <c r="BZ86" s="49" t="str">
        <f t="shared" si="103"/>
        <v/>
      </c>
      <c r="CA86" s="49" t="str">
        <f t="shared" si="103"/>
        <v/>
      </c>
      <c r="CB86" s="49" t="str">
        <f t="shared" si="103"/>
        <v/>
      </c>
      <c r="CC86" s="49" t="str">
        <f t="shared" si="103"/>
        <v/>
      </c>
      <c r="CD86" s="49" t="str">
        <f t="shared" si="103"/>
        <v/>
      </c>
      <c r="CE86" s="49" t="str">
        <f t="shared" si="103"/>
        <v/>
      </c>
      <c r="CF86" s="49" t="str">
        <f t="shared" si="103"/>
        <v/>
      </c>
      <c r="CG86" s="49" t="str">
        <f t="shared" si="103"/>
        <v/>
      </c>
      <c r="CH86" s="49" t="str">
        <f t="shared" si="103"/>
        <v/>
      </c>
      <c r="CI86" s="49" t="str">
        <f t="shared" si="103"/>
        <v/>
      </c>
      <c r="CJ86" s="49" t="str">
        <f t="shared" si="103"/>
        <v/>
      </c>
      <c r="CK86" s="49" t="str">
        <f t="shared" si="103"/>
        <v/>
      </c>
      <c r="CL86" s="49" t="str">
        <f t="shared" si="103"/>
        <v/>
      </c>
      <c r="CM86" s="49" t="str">
        <f t="shared" si="103"/>
        <v/>
      </c>
      <c r="CN86" s="49" t="str">
        <f t="shared" si="103"/>
        <v/>
      </c>
      <c r="CO86" s="49" t="str">
        <f t="shared" si="103"/>
        <v/>
      </c>
      <c r="CP86" s="49" t="str">
        <f t="shared" si="103"/>
        <v/>
      </c>
      <c r="CQ86" s="49" t="str">
        <f t="shared" si="103"/>
        <v/>
      </c>
      <c r="CR86" s="49" t="str">
        <f t="shared" si="103"/>
        <v/>
      </c>
      <c r="CS86" s="49" t="str">
        <f t="shared" si="103"/>
        <v/>
      </c>
      <c r="CT86" s="49" t="str">
        <f t="shared" si="103"/>
        <v/>
      </c>
      <c r="CU86" s="49" t="str">
        <f t="shared" si="103"/>
        <v/>
      </c>
      <c r="CV86" s="49" t="str">
        <f t="shared" si="103"/>
        <v/>
      </c>
      <c r="CW86" s="49" t="str">
        <f t="shared" si="103"/>
        <v/>
      </c>
      <c r="CX86" s="49" t="str">
        <f t="shared" si="103"/>
        <v/>
      </c>
      <c r="CY86" s="49" t="str">
        <f t="shared" si="103"/>
        <v/>
      </c>
      <c r="CZ86" s="49" t="str">
        <f t="shared" si="103"/>
        <v/>
      </c>
      <c r="DA86" s="49" t="str">
        <f t="shared" si="103"/>
        <v/>
      </c>
      <c r="DB86" s="49" t="str">
        <f t="shared" si="103"/>
        <v/>
      </c>
      <c r="DC86" s="49" t="str">
        <f t="shared" si="103"/>
        <v/>
      </c>
      <c r="DD86" s="49" t="str">
        <f t="shared" si="103"/>
        <v/>
      </c>
      <c r="DE86" s="49" t="str">
        <f t="shared" si="103"/>
        <v/>
      </c>
      <c r="DF86" s="49" t="str">
        <f t="shared" si="103"/>
        <v/>
      </c>
      <c r="DG86" s="49" t="str">
        <f t="shared" si="103"/>
        <v/>
      </c>
      <c r="DH86" s="49" t="str">
        <f t="shared" si="103"/>
        <v/>
      </c>
      <c r="DI86" s="49" t="str">
        <f t="shared" si="103"/>
        <v/>
      </c>
      <c r="DJ86" s="49" t="str">
        <f t="shared" si="103"/>
        <v/>
      </c>
    </row>
    <row r="87" spans="1:114" ht="15.75" customHeight="1" x14ac:dyDescent="0.55000000000000004">
      <c r="A87" s="41" t="e">
        <f>MASANIELLO!#REF!</f>
        <v>#REF!</v>
      </c>
      <c r="B87" s="41" t="e">
        <f t="shared" si="2"/>
        <v>#VALUE!</v>
      </c>
      <c r="C87" s="42" t="e">
        <f t="shared" si="3"/>
        <v>#VALUE!</v>
      </c>
      <c r="D87" s="42" t="e">
        <f t="shared" si="4"/>
        <v>#VALUE!</v>
      </c>
      <c r="E87" s="42" t="e">
        <f t="shared" si="5"/>
        <v>#VALUE!</v>
      </c>
      <c r="F87" s="42" t="e">
        <f t="shared" si="6"/>
        <v>#VALUE!</v>
      </c>
      <c r="G87" s="50" t="e">
        <f t="shared" si="7"/>
        <v>#VALUE!</v>
      </c>
      <c r="H87" s="41" t="e">
        <f t="shared" si="8"/>
        <v>#VALUE!</v>
      </c>
      <c r="I87" s="41" t="e">
        <f t="shared" si="9"/>
        <v>#VALUE!</v>
      </c>
      <c r="J87" s="45" t="e">
        <f t="shared" si="10"/>
        <v>#VALUE!</v>
      </c>
      <c r="M87" s="48" t="b">
        <f t="shared" si="11"/>
        <v>0</v>
      </c>
      <c r="N87" s="49" t="e">
        <f t="shared" ref="N87:DJ87" si="104">IF(N$1&gt;$L$2,   "",   IF(N$1=$L$2,  1,  IF($L$2-N$1=$L$1-$M87, $L$3^($L$1-$M87), ($L$3*N88*O88/(N88+($L$3-1)*O88) ))))</f>
        <v>#DIV/0!</v>
      </c>
      <c r="O87" s="49" t="e">
        <f t="shared" si="104"/>
        <v>#DIV/0!</v>
      </c>
      <c r="P87" s="49" t="e">
        <f t="shared" si="104"/>
        <v>#DIV/0!</v>
      </c>
      <c r="Q87" s="49" t="e">
        <f t="shared" si="104"/>
        <v>#DIV/0!</v>
      </c>
      <c r="R87" s="49">
        <f t="shared" si="104"/>
        <v>1</v>
      </c>
      <c r="S87" s="49" t="str">
        <f t="shared" si="104"/>
        <v/>
      </c>
      <c r="T87" s="49" t="str">
        <f t="shared" si="104"/>
        <v/>
      </c>
      <c r="U87" s="49" t="str">
        <f t="shared" si="104"/>
        <v/>
      </c>
      <c r="V87" s="49" t="str">
        <f t="shared" si="104"/>
        <v/>
      </c>
      <c r="W87" s="49" t="str">
        <f t="shared" si="104"/>
        <v/>
      </c>
      <c r="X87" s="49" t="str">
        <f t="shared" si="104"/>
        <v/>
      </c>
      <c r="Y87" s="49" t="str">
        <f t="shared" si="104"/>
        <v/>
      </c>
      <c r="Z87" s="49" t="str">
        <f t="shared" si="104"/>
        <v/>
      </c>
      <c r="AA87" s="49" t="str">
        <f t="shared" si="104"/>
        <v/>
      </c>
      <c r="AB87" s="49" t="str">
        <f t="shared" si="104"/>
        <v/>
      </c>
      <c r="AC87" s="49" t="str">
        <f t="shared" si="104"/>
        <v/>
      </c>
      <c r="AD87" s="49" t="str">
        <f t="shared" si="104"/>
        <v/>
      </c>
      <c r="AE87" s="49" t="str">
        <f t="shared" si="104"/>
        <v/>
      </c>
      <c r="AF87" s="49" t="str">
        <f t="shared" si="104"/>
        <v/>
      </c>
      <c r="AG87" s="49" t="str">
        <f t="shared" si="104"/>
        <v/>
      </c>
      <c r="AH87" s="49" t="str">
        <f t="shared" si="104"/>
        <v/>
      </c>
      <c r="AI87" s="49" t="str">
        <f t="shared" si="104"/>
        <v/>
      </c>
      <c r="AJ87" s="49" t="str">
        <f t="shared" si="104"/>
        <v/>
      </c>
      <c r="AK87" s="49" t="str">
        <f t="shared" si="104"/>
        <v/>
      </c>
      <c r="AL87" s="49" t="str">
        <f t="shared" si="104"/>
        <v/>
      </c>
      <c r="AM87" s="49" t="str">
        <f t="shared" si="104"/>
        <v/>
      </c>
      <c r="AN87" s="49" t="str">
        <f t="shared" si="104"/>
        <v/>
      </c>
      <c r="AO87" s="49" t="str">
        <f t="shared" si="104"/>
        <v/>
      </c>
      <c r="AP87" s="49" t="str">
        <f t="shared" si="104"/>
        <v/>
      </c>
      <c r="AQ87" s="49" t="str">
        <f t="shared" si="104"/>
        <v/>
      </c>
      <c r="AR87" s="49" t="str">
        <f t="shared" si="104"/>
        <v/>
      </c>
      <c r="AS87" s="49" t="str">
        <f t="shared" si="104"/>
        <v/>
      </c>
      <c r="AT87" s="49" t="str">
        <f t="shared" si="104"/>
        <v/>
      </c>
      <c r="AU87" s="49" t="str">
        <f t="shared" si="104"/>
        <v/>
      </c>
      <c r="AV87" s="49" t="str">
        <f t="shared" si="104"/>
        <v/>
      </c>
      <c r="AW87" s="49" t="str">
        <f t="shared" si="104"/>
        <v/>
      </c>
      <c r="AX87" s="49" t="str">
        <f t="shared" si="104"/>
        <v/>
      </c>
      <c r="AY87" s="49" t="str">
        <f t="shared" si="104"/>
        <v/>
      </c>
      <c r="AZ87" s="49" t="str">
        <f t="shared" si="104"/>
        <v/>
      </c>
      <c r="BA87" s="49" t="str">
        <f t="shared" si="104"/>
        <v/>
      </c>
      <c r="BB87" s="49" t="str">
        <f t="shared" si="104"/>
        <v/>
      </c>
      <c r="BC87" s="49" t="str">
        <f t="shared" si="104"/>
        <v/>
      </c>
      <c r="BD87" s="49" t="str">
        <f t="shared" si="104"/>
        <v/>
      </c>
      <c r="BE87" s="49" t="str">
        <f t="shared" si="104"/>
        <v/>
      </c>
      <c r="BF87" s="49" t="str">
        <f t="shared" si="104"/>
        <v/>
      </c>
      <c r="BG87" s="49" t="str">
        <f t="shared" si="104"/>
        <v/>
      </c>
      <c r="BH87" s="49" t="str">
        <f t="shared" si="104"/>
        <v/>
      </c>
      <c r="BI87" s="49" t="str">
        <f t="shared" si="104"/>
        <v/>
      </c>
      <c r="BJ87" s="49" t="str">
        <f t="shared" si="104"/>
        <v/>
      </c>
      <c r="BK87" s="49" t="str">
        <f t="shared" si="104"/>
        <v/>
      </c>
      <c r="BL87" s="49" t="str">
        <f t="shared" si="104"/>
        <v/>
      </c>
      <c r="BM87" s="49" t="str">
        <f t="shared" si="104"/>
        <v/>
      </c>
      <c r="BN87" s="49" t="str">
        <f t="shared" si="104"/>
        <v/>
      </c>
      <c r="BO87" s="49" t="str">
        <f t="shared" si="104"/>
        <v/>
      </c>
      <c r="BP87" s="49" t="str">
        <f t="shared" si="104"/>
        <v/>
      </c>
      <c r="BQ87" s="49" t="str">
        <f t="shared" si="104"/>
        <v/>
      </c>
      <c r="BR87" s="49" t="str">
        <f t="shared" si="104"/>
        <v/>
      </c>
      <c r="BS87" s="49" t="str">
        <f t="shared" si="104"/>
        <v/>
      </c>
      <c r="BT87" s="49" t="str">
        <f t="shared" si="104"/>
        <v/>
      </c>
      <c r="BU87" s="49" t="str">
        <f t="shared" si="104"/>
        <v/>
      </c>
      <c r="BV87" s="49" t="str">
        <f t="shared" si="104"/>
        <v/>
      </c>
      <c r="BW87" s="49" t="str">
        <f t="shared" si="104"/>
        <v/>
      </c>
      <c r="BX87" s="49" t="str">
        <f t="shared" si="104"/>
        <v/>
      </c>
      <c r="BY87" s="49" t="str">
        <f t="shared" si="104"/>
        <v/>
      </c>
      <c r="BZ87" s="49" t="str">
        <f t="shared" si="104"/>
        <v/>
      </c>
      <c r="CA87" s="49" t="str">
        <f t="shared" si="104"/>
        <v/>
      </c>
      <c r="CB87" s="49" t="str">
        <f t="shared" si="104"/>
        <v/>
      </c>
      <c r="CC87" s="49" t="str">
        <f t="shared" si="104"/>
        <v/>
      </c>
      <c r="CD87" s="49" t="str">
        <f t="shared" si="104"/>
        <v/>
      </c>
      <c r="CE87" s="49" t="str">
        <f t="shared" si="104"/>
        <v/>
      </c>
      <c r="CF87" s="49" t="str">
        <f t="shared" si="104"/>
        <v/>
      </c>
      <c r="CG87" s="49" t="str">
        <f t="shared" si="104"/>
        <v/>
      </c>
      <c r="CH87" s="49" t="str">
        <f t="shared" si="104"/>
        <v/>
      </c>
      <c r="CI87" s="49" t="str">
        <f t="shared" si="104"/>
        <v/>
      </c>
      <c r="CJ87" s="49" t="str">
        <f t="shared" si="104"/>
        <v/>
      </c>
      <c r="CK87" s="49" t="str">
        <f t="shared" si="104"/>
        <v/>
      </c>
      <c r="CL87" s="49" t="str">
        <f t="shared" si="104"/>
        <v/>
      </c>
      <c r="CM87" s="49" t="str">
        <f t="shared" si="104"/>
        <v/>
      </c>
      <c r="CN87" s="49" t="str">
        <f t="shared" si="104"/>
        <v/>
      </c>
      <c r="CO87" s="49" t="str">
        <f t="shared" si="104"/>
        <v/>
      </c>
      <c r="CP87" s="49" t="str">
        <f t="shared" si="104"/>
        <v/>
      </c>
      <c r="CQ87" s="49" t="str">
        <f t="shared" si="104"/>
        <v/>
      </c>
      <c r="CR87" s="49" t="str">
        <f t="shared" si="104"/>
        <v/>
      </c>
      <c r="CS87" s="49" t="str">
        <f t="shared" si="104"/>
        <v/>
      </c>
      <c r="CT87" s="49" t="str">
        <f t="shared" si="104"/>
        <v/>
      </c>
      <c r="CU87" s="49" t="str">
        <f t="shared" si="104"/>
        <v/>
      </c>
      <c r="CV87" s="49" t="str">
        <f t="shared" si="104"/>
        <v/>
      </c>
      <c r="CW87" s="49" t="str">
        <f t="shared" si="104"/>
        <v/>
      </c>
      <c r="CX87" s="49" t="str">
        <f t="shared" si="104"/>
        <v/>
      </c>
      <c r="CY87" s="49" t="str">
        <f t="shared" si="104"/>
        <v/>
      </c>
      <c r="CZ87" s="49" t="str">
        <f t="shared" si="104"/>
        <v/>
      </c>
      <c r="DA87" s="49" t="str">
        <f t="shared" si="104"/>
        <v/>
      </c>
      <c r="DB87" s="49" t="str">
        <f t="shared" si="104"/>
        <v/>
      </c>
      <c r="DC87" s="49" t="str">
        <f t="shared" si="104"/>
        <v/>
      </c>
      <c r="DD87" s="49" t="str">
        <f t="shared" si="104"/>
        <v/>
      </c>
      <c r="DE87" s="49" t="str">
        <f t="shared" si="104"/>
        <v/>
      </c>
      <c r="DF87" s="49" t="str">
        <f t="shared" si="104"/>
        <v/>
      </c>
      <c r="DG87" s="49" t="str">
        <f t="shared" si="104"/>
        <v/>
      </c>
      <c r="DH87" s="49" t="str">
        <f t="shared" si="104"/>
        <v/>
      </c>
      <c r="DI87" s="49" t="str">
        <f t="shared" si="104"/>
        <v/>
      </c>
      <c r="DJ87" s="49" t="str">
        <f t="shared" si="104"/>
        <v/>
      </c>
    </row>
    <row r="88" spans="1:114" ht="15.75" customHeight="1" x14ac:dyDescent="0.55000000000000004">
      <c r="A88" s="41" t="e">
        <f>MASANIELLO!#REF!</f>
        <v>#REF!</v>
      </c>
      <c r="B88" s="41" t="e">
        <f t="shared" si="2"/>
        <v>#VALUE!</v>
      </c>
      <c r="C88" s="42" t="e">
        <f t="shared" si="3"/>
        <v>#VALUE!</v>
      </c>
      <c r="D88" s="42" t="e">
        <f t="shared" si="4"/>
        <v>#VALUE!</v>
      </c>
      <c r="E88" s="42" t="e">
        <f t="shared" si="5"/>
        <v>#VALUE!</v>
      </c>
      <c r="F88" s="42" t="e">
        <f t="shared" si="6"/>
        <v>#VALUE!</v>
      </c>
      <c r="G88" s="50" t="e">
        <f t="shared" si="7"/>
        <v>#VALUE!</v>
      </c>
      <c r="H88" s="41" t="e">
        <f t="shared" si="8"/>
        <v>#VALUE!</v>
      </c>
      <c r="I88" s="41" t="e">
        <f t="shared" si="9"/>
        <v>#VALUE!</v>
      </c>
      <c r="J88" s="45" t="e">
        <f t="shared" si="10"/>
        <v>#VALUE!</v>
      </c>
      <c r="M88" s="48" t="b">
        <f t="shared" si="11"/>
        <v>0</v>
      </c>
      <c r="N88" s="49" t="e">
        <f t="shared" ref="N88:DJ88" si="105">IF(N$1&gt;$L$2,   "",   IF(N$1=$L$2,  1,  IF($L$2-N$1=$L$1-$M88, $L$3^($L$1-$M88), ($L$3*N89*O89/(N89+($L$3-1)*O89) ))))</f>
        <v>#DIV/0!</v>
      </c>
      <c r="O88" s="49" t="e">
        <f t="shared" si="105"/>
        <v>#DIV/0!</v>
      </c>
      <c r="P88" s="49" t="e">
        <f t="shared" si="105"/>
        <v>#DIV/0!</v>
      </c>
      <c r="Q88" s="49" t="e">
        <f t="shared" si="105"/>
        <v>#DIV/0!</v>
      </c>
      <c r="R88" s="49">
        <f t="shared" si="105"/>
        <v>1</v>
      </c>
      <c r="S88" s="49" t="str">
        <f t="shared" si="105"/>
        <v/>
      </c>
      <c r="T88" s="49" t="str">
        <f t="shared" si="105"/>
        <v/>
      </c>
      <c r="U88" s="49" t="str">
        <f t="shared" si="105"/>
        <v/>
      </c>
      <c r="V88" s="49" t="str">
        <f t="shared" si="105"/>
        <v/>
      </c>
      <c r="W88" s="49" t="str">
        <f t="shared" si="105"/>
        <v/>
      </c>
      <c r="X88" s="49" t="str">
        <f t="shared" si="105"/>
        <v/>
      </c>
      <c r="Y88" s="49" t="str">
        <f t="shared" si="105"/>
        <v/>
      </c>
      <c r="Z88" s="49" t="str">
        <f t="shared" si="105"/>
        <v/>
      </c>
      <c r="AA88" s="49" t="str">
        <f t="shared" si="105"/>
        <v/>
      </c>
      <c r="AB88" s="49" t="str">
        <f t="shared" si="105"/>
        <v/>
      </c>
      <c r="AC88" s="49" t="str">
        <f t="shared" si="105"/>
        <v/>
      </c>
      <c r="AD88" s="49" t="str">
        <f t="shared" si="105"/>
        <v/>
      </c>
      <c r="AE88" s="49" t="str">
        <f t="shared" si="105"/>
        <v/>
      </c>
      <c r="AF88" s="49" t="str">
        <f t="shared" si="105"/>
        <v/>
      </c>
      <c r="AG88" s="49" t="str">
        <f t="shared" si="105"/>
        <v/>
      </c>
      <c r="AH88" s="49" t="str">
        <f t="shared" si="105"/>
        <v/>
      </c>
      <c r="AI88" s="49" t="str">
        <f t="shared" si="105"/>
        <v/>
      </c>
      <c r="AJ88" s="49" t="str">
        <f t="shared" si="105"/>
        <v/>
      </c>
      <c r="AK88" s="49" t="str">
        <f t="shared" si="105"/>
        <v/>
      </c>
      <c r="AL88" s="49" t="str">
        <f t="shared" si="105"/>
        <v/>
      </c>
      <c r="AM88" s="49" t="str">
        <f t="shared" si="105"/>
        <v/>
      </c>
      <c r="AN88" s="49" t="str">
        <f t="shared" si="105"/>
        <v/>
      </c>
      <c r="AO88" s="49" t="str">
        <f t="shared" si="105"/>
        <v/>
      </c>
      <c r="AP88" s="49" t="str">
        <f t="shared" si="105"/>
        <v/>
      </c>
      <c r="AQ88" s="49" t="str">
        <f t="shared" si="105"/>
        <v/>
      </c>
      <c r="AR88" s="49" t="str">
        <f t="shared" si="105"/>
        <v/>
      </c>
      <c r="AS88" s="49" t="str">
        <f t="shared" si="105"/>
        <v/>
      </c>
      <c r="AT88" s="49" t="str">
        <f t="shared" si="105"/>
        <v/>
      </c>
      <c r="AU88" s="49" t="str">
        <f t="shared" si="105"/>
        <v/>
      </c>
      <c r="AV88" s="49" t="str">
        <f t="shared" si="105"/>
        <v/>
      </c>
      <c r="AW88" s="49" t="str">
        <f t="shared" si="105"/>
        <v/>
      </c>
      <c r="AX88" s="49" t="str">
        <f t="shared" si="105"/>
        <v/>
      </c>
      <c r="AY88" s="49" t="str">
        <f t="shared" si="105"/>
        <v/>
      </c>
      <c r="AZ88" s="49" t="str">
        <f t="shared" si="105"/>
        <v/>
      </c>
      <c r="BA88" s="49" t="str">
        <f t="shared" si="105"/>
        <v/>
      </c>
      <c r="BB88" s="49" t="str">
        <f t="shared" si="105"/>
        <v/>
      </c>
      <c r="BC88" s="49" t="str">
        <f t="shared" si="105"/>
        <v/>
      </c>
      <c r="BD88" s="49" t="str">
        <f t="shared" si="105"/>
        <v/>
      </c>
      <c r="BE88" s="49" t="str">
        <f t="shared" si="105"/>
        <v/>
      </c>
      <c r="BF88" s="49" t="str">
        <f t="shared" si="105"/>
        <v/>
      </c>
      <c r="BG88" s="49" t="str">
        <f t="shared" si="105"/>
        <v/>
      </c>
      <c r="BH88" s="49" t="str">
        <f t="shared" si="105"/>
        <v/>
      </c>
      <c r="BI88" s="49" t="str">
        <f t="shared" si="105"/>
        <v/>
      </c>
      <c r="BJ88" s="49" t="str">
        <f t="shared" si="105"/>
        <v/>
      </c>
      <c r="BK88" s="49" t="str">
        <f t="shared" si="105"/>
        <v/>
      </c>
      <c r="BL88" s="49" t="str">
        <f t="shared" si="105"/>
        <v/>
      </c>
      <c r="BM88" s="49" t="str">
        <f t="shared" si="105"/>
        <v/>
      </c>
      <c r="BN88" s="49" t="str">
        <f t="shared" si="105"/>
        <v/>
      </c>
      <c r="BO88" s="49" t="str">
        <f t="shared" si="105"/>
        <v/>
      </c>
      <c r="BP88" s="49" t="str">
        <f t="shared" si="105"/>
        <v/>
      </c>
      <c r="BQ88" s="49" t="str">
        <f t="shared" si="105"/>
        <v/>
      </c>
      <c r="BR88" s="49" t="str">
        <f t="shared" si="105"/>
        <v/>
      </c>
      <c r="BS88" s="49" t="str">
        <f t="shared" si="105"/>
        <v/>
      </c>
      <c r="BT88" s="49" t="str">
        <f t="shared" si="105"/>
        <v/>
      </c>
      <c r="BU88" s="49" t="str">
        <f t="shared" si="105"/>
        <v/>
      </c>
      <c r="BV88" s="49" t="str">
        <f t="shared" si="105"/>
        <v/>
      </c>
      <c r="BW88" s="49" t="str">
        <f t="shared" si="105"/>
        <v/>
      </c>
      <c r="BX88" s="49" t="str">
        <f t="shared" si="105"/>
        <v/>
      </c>
      <c r="BY88" s="49" t="str">
        <f t="shared" si="105"/>
        <v/>
      </c>
      <c r="BZ88" s="49" t="str">
        <f t="shared" si="105"/>
        <v/>
      </c>
      <c r="CA88" s="49" t="str">
        <f t="shared" si="105"/>
        <v/>
      </c>
      <c r="CB88" s="49" t="str">
        <f t="shared" si="105"/>
        <v/>
      </c>
      <c r="CC88" s="49" t="str">
        <f t="shared" si="105"/>
        <v/>
      </c>
      <c r="CD88" s="49" t="str">
        <f t="shared" si="105"/>
        <v/>
      </c>
      <c r="CE88" s="49" t="str">
        <f t="shared" si="105"/>
        <v/>
      </c>
      <c r="CF88" s="49" t="str">
        <f t="shared" si="105"/>
        <v/>
      </c>
      <c r="CG88" s="49" t="str">
        <f t="shared" si="105"/>
        <v/>
      </c>
      <c r="CH88" s="49" t="str">
        <f t="shared" si="105"/>
        <v/>
      </c>
      <c r="CI88" s="49" t="str">
        <f t="shared" si="105"/>
        <v/>
      </c>
      <c r="CJ88" s="49" t="str">
        <f t="shared" si="105"/>
        <v/>
      </c>
      <c r="CK88" s="49" t="str">
        <f t="shared" si="105"/>
        <v/>
      </c>
      <c r="CL88" s="49" t="str">
        <f t="shared" si="105"/>
        <v/>
      </c>
      <c r="CM88" s="49" t="str">
        <f t="shared" si="105"/>
        <v/>
      </c>
      <c r="CN88" s="49" t="str">
        <f t="shared" si="105"/>
        <v/>
      </c>
      <c r="CO88" s="49" t="str">
        <f t="shared" si="105"/>
        <v/>
      </c>
      <c r="CP88" s="49" t="str">
        <f t="shared" si="105"/>
        <v/>
      </c>
      <c r="CQ88" s="49" t="str">
        <f t="shared" si="105"/>
        <v/>
      </c>
      <c r="CR88" s="49" t="str">
        <f t="shared" si="105"/>
        <v/>
      </c>
      <c r="CS88" s="49" t="str">
        <f t="shared" si="105"/>
        <v/>
      </c>
      <c r="CT88" s="49" t="str">
        <f t="shared" si="105"/>
        <v/>
      </c>
      <c r="CU88" s="49" t="str">
        <f t="shared" si="105"/>
        <v/>
      </c>
      <c r="CV88" s="49" t="str">
        <f t="shared" si="105"/>
        <v/>
      </c>
      <c r="CW88" s="49" t="str">
        <f t="shared" si="105"/>
        <v/>
      </c>
      <c r="CX88" s="49" t="str">
        <f t="shared" si="105"/>
        <v/>
      </c>
      <c r="CY88" s="49" t="str">
        <f t="shared" si="105"/>
        <v/>
      </c>
      <c r="CZ88" s="49" t="str">
        <f t="shared" si="105"/>
        <v/>
      </c>
      <c r="DA88" s="49" t="str">
        <f t="shared" si="105"/>
        <v/>
      </c>
      <c r="DB88" s="49" t="str">
        <f t="shared" si="105"/>
        <v/>
      </c>
      <c r="DC88" s="49" t="str">
        <f t="shared" si="105"/>
        <v/>
      </c>
      <c r="DD88" s="49" t="str">
        <f t="shared" si="105"/>
        <v/>
      </c>
      <c r="DE88" s="49" t="str">
        <f t="shared" si="105"/>
        <v/>
      </c>
      <c r="DF88" s="49" t="str">
        <f t="shared" si="105"/>
        <v/>
      </c>
      <c r="DG88" s="49" t="str">
        <f t="shared" si="105"/>
        <v/>
      </c>
      <c r="DH88" s="49" t="str">
        <f t="shared" si="105"/>
        <v/>
      </c>
      <c r="DI88" s="49" t="str">
        <f t="shared" si="105"/>
        <v/>
      </c>
      <c r="DJ88" s="49" t="str">
        <f t="shared" si="105"/>
        <v/>
      </c>
    </row>
    <row r="89" spans="1:114" ht="15.75" customHeight="1" x14ac:dyDescent="0.55000000000000004">
      <c r="A89" s="41" t="e">
        <f>MASANIELLO!#REF!</f>
        <v>#REF!</v>
      </c>
      <c r="B89" s="41" t="e">
        <f t="shared" si="2"/>
        <v>#VALUE!</v>
      </c>
      <c r="C89" s="42" t="e">
        <f t="shared" si="3"/>
        <v>#VALUE!</v>
      </c>
      <c r="D89" s="42" t="e">
        <f t="shared" si="4"/>
        <v>#VALUE!</v>
      </c>
      <c r="E89" s="42" t="e">
        <f t="shared" si="5"/>
        <v>#VALUE!</v>
      </c>
      <c r="F89" s="42" t="e">
        <f t="shared" si="6"/>
        <v>#VALUE!</v>
      </c>
      <c r="G89" s="50" t="e">
        <f t="shared" si="7"/>
        <v>#VALUE!</v>
      </c>
      <c r="H89" s="41" t="e">
        <f t="shared" si="8"/>
        <v>#VALUE!</v>
      </c>
      <c r="I89" s="41" t="e">
        <f t="shared" si="9"/>
        <v>#VALUE!</v>
      </c>
      <c r="J89" s="45" t="e">
        <f t="shared" si="10"/>
        <v>#VALUE!</v>
      </c>
      <c r="M89" s="48" t="b">
        <f t="shared" si="11"/>
        <v>0</v>
      </c>
      <c r="N89" s="49" t="e">
        <f t="shared" ref="N89:DJ89" si="106">IF(N$1&gt;$L$2,   "",   IF(N$1=$L$2,  1,  IF($L$2-N$1=$L$1-$M89, $L$3^($L$1-$M89), ($L$3*N90*O90/(N90+($L$3-1)*O90) ))))</f>
        <v>#DIV/0!</v>
      </c>
      <c r="O89" s="49" t="e">
        <f t="shared" si="106"/>
        <v>#DIV/0!</v>
      </c>
      <c r="P89" s="49" t="e">
        <f t="shared" si="106"/>
        <v>#DIV/0!</v>
      </c>
      <c r="Q89" s="49" t="e">
        <f t="shared" si="106"/>
        <v>#DIV/0!</v>
      </c>
      <c r="R89" s="49">
        <f t="shared" si="106"/>
        <v>1</v>
      </c>
      <c r="S89" s="49" t="str">
        <f t="shared" si="106"/>
        <v/>
      </c>
      <c r="T89" s="49" t="str">
        <f t="shared" si="106"/>
        <v/>
      </c>
      <c r="U89" s="49" t="str">
        <f t="shared" si="106"/>
        <v/>
      </c>
      <c r="V89" s="49" t="str">
        <f t="shared" si="106"/>
        <v/>
      </c>
      <c r="W89" s="49" t="str">
        <f t="shared" si="106"/>
        <v/>
      </c>
      <c r="X89" s="49" t="str">
        <f t="shared" si="106"/>
        <v/>
      </c>
      <c r="Y89" s="49" t="str">
        <f t="shared" si="106"/>
        <v/>
      </c>
      <c r="Z89" s="49" t="str">
        <f t="shared" si="106"/>
        <v/>
      </c>
      <c r="AA89" s="49" t="str">
        <f t="shared" si="106"/>
        <v/>
      </c>
      <c r="AB89" s="49" t="str">
        <f t="shared" si="106"/>
        <v/>
      </c>
      <c r="AC89" s="49" t="str">
        <f t="shared" si="106"/>
        <v/>
      </c>
      <c r="AD89" s="49" t="str">
        <f t="shared" si="106"/>
        <v/>
      </c>
      <c r="AE89" s="49" t="str">
        <f t="shared" si="106"/>
        <v/>
      </c>
      <c r="AF89" s="49" t="str">
        <f t="shared" si="106"/>
        <v/>
      </c>
      <c r="AG89" s="49" t="str">
        <f t="shared" si="106"/>
        <v/>
      </c>
      <c r="AH89" s="49" t="str">
        <f t="shared" si="106"/>
        <v/>
      </c>
      <c r="AI89" s="49" t="str">
        <f t="shared" si="106"/>
        <v/>
      </c>
      <c r="AJ89" s="49" t="str">
        <f t="shared" si="106"/>
        <v/>
      </c>
      <c r="AK89" s="49" t="str">
        <f t="shared" si="106"/>
        <v/>
      </c>
      <c r="AL89" s="49" t="str">
        <f t="shared" si="106"/>
        <v/>
      </c>
      <c r="AM89" s="49" t="str">
        <f t="shared" si="106"/>
        <v/>
      </c>
      <c r="AN89" s="49" t="str">
        <f t="shared" si="106"/>
        <v/>
      </c>
      <c r="AO89" s="49" t="str">
        <f t="shared" si="106"/>
        <v/>
      </c>
      <c r="AP89" s="49" t="str">
        <f t="shared" si="106"/>
        <v/>
      </c>
      <c r="AQ89" s="49" t="str">
        <f t="shared" si="106"/>
        <v/>
      </c>
      <c r="AR89" s="49" t="str">
        <f t="shared" si="106"/>
        <v/>
      </c>
      <c r="AS89" s="49" t="str">
        <f t="shared" si="106"/>
        <v/>
      </c>
      <c r="AT89" s="49" t="str">
        <f t="shared" si="106"/>
        <v/>
      </c>
      <c r="AU89" s="49" t="str">
        <f t="shared" si="106"/>
        <v/>
      </c>
      <c r="AV89" s="49" t="str">
        <f t="shared" si="106"/>
        <v/>
      </c>
      <c r="AW89" s="49" t="str">
        <f t="shared" si="106"/>
        <v/>
      </c>
      <c r="AX89" s="49" t="str">
        <f t="shared" si="106"/>
        <v/>
      </c>
      <c r="AY89" s="49" t="str">
        <f t="shared" si="106"/>
        <v/>
      </c>
      <c r="AZ89" s="49" t="str">
        <f t="shared" si="106"/>
        <v/>
      </c>
      <c r="BA89" s="49" t="str">
        <f t="shared" si="106"/>
        <v/>
      </c>
      <c r="BB89" s="49" t="str">
        <f t="shared" si="106"/>
        <v/>
      </c>
      <c r="BC89" s="49" t="str">
        <f t="shared" si="106"/>
        <v/>
      </c>
      <c r="BD89" s="49" t="str">
        <f t="shared" si="106"/>
        <v/>
      </c>
      <c r="BE89" s="49" t="str">
        <f t="shared" si="106"/>
        <v/>
      </c>
      <c r="BF89" s="49" t="str">
        <f t="shared" si="106"/>
        <v/>
      </c>
      <c r="BG89" s="49" t="str">
        <f t="shared" si="106"/>
        <v/>
      </c>
      <c r="BH89" s="49" t="str">
        <f t="shared" si="106"/>
        <v/>
      </c>
      <c r="BI89" s="49" t="str">
        <f t="shared" si="106"/>
        <v/>
      </c>
      <c r="BJ89" s="49" t="str">
        <f t="shared" si="106"/>
        <v/>
      </c>
      <c r="BK89" s="49" t="str">
        <f t="shared" si="106"/>
        <v/>
      </c>
      <c r="BL89" s="49" t="str">
        <f t="shared" si="106"/>
        <v/>
      </c>
      <c r="BM89" s="49" t="str">
        <f t="shared" si="106"/>
        <v/>
      </c>
      <c r="BN89" s="49" t="str">
        <f t="shared" si="106"/>
        <v/>
      </c>
      <c r="BO89" s="49" t="str">
        <f t="shared" si="106"/>
        <v/>
      </c>
      <c r="BP89" s="49" t="str">
        <f t="shared" si="106"/>
        <v/>
      </c>
      <c r="BQ89" s="49" t="str">
        <f t="shared" si="106"/>
        <v/>
      </c>
      <c r="BR89" s="49" t="str">
        <f t="shared" si="106"/>
        <v/>
      </c>
      <c r="BS89" s="49" t="str">
        <f t="shared" si="106"/>
        <v/>
      </c>
      <c r="BT89" s="49" t="str">
        <f t="shared" si="106"/>
        <v/>
      </c>
      <c r="BU89" s="49" t="str">
        <f t="shared" si="106"/>
        <v/>
      </c>
      <c r="BV89" s="49" t="str">
        <f t="shared" si="106"/>
        <v/>
      </c>
      <c r="BW89" s="49" t="str">
        <f t="shared" si="106"/>
        <v/>
      </c>
      <c r="BX89" s="49" t="str">
        <f t="shared" si="106"/>
        <v/>
      </c>
      <c r="BY89" s="49" t="str">
        <f t="shared" si="106"/>
        <v/>
      </c>
      <c r="BZ89" s="49" t="str">
        <f t="shared" si="106"/>
        <v/>
      </c>
      <c r="CA89" s="49" t="str">
        <f t="shared" si="106"/>
        <v/>
      </c>
      <c r="CB89" s="49" t="str">
        <f t="shared" si="106"/>
        <v/>
      </c>
      <c r="CC89" s="49" t="str">
        <f t="shared" si="106"/>
        <v/>
      </c>
      <c r="CD89" s="49" t="str">
        <f t="shared" si="106"/>
        <v/>
      </c>
      <c r="CE89" s="49" t="str">
        <f t="shared" si="106"/>
        <v/>
      </c>
      <c r="CF89" s="49" t="str">
        <f t="shared" si="106"/>
        <v/>
      </c>
      <c r="CG89" s="49" t="str">
        <f t="shared" si="106"/>
        <v/>
      </c>
      <c r="CH89" s="49" t="str">
        <f t="shared" si="106"/>
        <v/>
      </c>
      <c r="CI89" s="49" t="str">
        <f t="shared" si="106"/>
        <v/>
      </c>
      <c r="CJ89" s="49" t="str">
        <f t="shared" si="106"/>
        <v/>
      </c>
      <c r="CK89" s="49" t="str">
        <f t="shared" si="106"/>
        <v/>
      </c>
      <c r="CL89" s="49" t="str">
        <f t="shared" si="106"/>
        <v/>
      </c>
      <c r="CM89" s="49" t="str">
        <f t="shared" si="106"/>
        <v/>
      </c>
      <c r="CN89" s="49" t="str">
        <f t="shared" si="106"/>
        <v/>
      </c>
      <c r="CO89" s="49" t="str">
        <f t="shared" si="106"/>
        <v/>
      </c>
      <c r="CP89" s="49" t="str">
        <f t="shared" si="106"/>
        <v/>
      </c>
      <c r="CQ89" s="49" t="str">
        <f t="shared" si="106"/>
        <v/>
      </c>
      <c r="CR89" s="49" t="str">
        <f t="shared" si="106"/>
        <v/>
      </c>
      <c r="CS89" s="49" t="str">
        <f t="shared" si="106"/>
        <v/>
      </c>
      <c r="CT89" s="49" t="str">
        <f t="shared" si="106"/>
        <v/>
      </c>
      <c r="CU89" s="49" t="str">
        <f t="shared" si="106"/>
        <v/>
      </c>
      <c r="CV89" s="49" t="str">
        <f t="shared" si="106"/>
        <v/>
      </c>
      <c r="CW89" s="49" t="str">
        <f t="shared" si="106"/>
        <v/>
      </c>
      <c r="CX89" s="49" t="str">
        <f t="shared" si="106"/>
        <v/>
      </c>
      <c r="CY89" s="49" t="str">
        <f t="shared" si="106"/>
        <v/>
      </c>
      <c r="CZ89" s="49" t="str">
        <f t="shared" si="106"/>
        <v/>
      </c>
      <c r="DA89" s="49" t="str">
        <f t="shared" si="106"/>
        <v/>
      </c>
      <c r="DB89" s="49" t="str">
        <f t="shared" si="106"/>
        <v/>
      </c>
      <c r="DC89" s="49" t="str">
        <f t="shared" si="106"/>
        <v/>
      </c>
      <c r="DD89" s="49" t="str">
        <f t="shared" si="106"/>
        <v/>
      </c>
      <c r="DE89" s="49" t="str">
        <f t="shared" si="106"/>
        <v/>
      </c>
      <c r="DF89" s="49" t="str">
        <f t="shared" si="106"/>
        <v/>
      </c>
      <c r="DG89" s="49" t="str">
        <f t="shared" si="106"/>
        <v/>
      </c>
      <c r="DH89" s="49" t="str">
        <f t="shared" si="106"/>
        <v/>
      </c>
      <c r="DI89" s="49" t="str">
        <f t="shared" si="106"/>
        <v/>
      </c>
      <c r="DJ89" s="49" t="str">
        <f t="shared" si="106"/>
        <v/>
      </c>
    </row>
    <row r="90" spans="1:114" ht="15.75" customHeight="1" x14ac:dyDescent="0.55000000000000004">
      <c r="A90" s="41" t="e">
        <f>MASANIELLO!#REF!</f>
        <v>#REF!</v>
      </c>
      <c r="B90" s="41" t="e">
        <f t="shared" si="2"/>
        <v>#VALUE!</v>
      </c>
      <c r="C90" s="42" t="e">
        <f t="shared" si="3"/>
        <v>#VALUE!</v>
      </c>
      <c r="D90" s="42" t="e">
        <f t="shared" si="4"/>
        <v>#VALUE!</v>
      </c>
      <c r="E90" s="42" t="e">
        <f t="shared" si="5"/>
        <v>#VALUE!</v>
      </c>
      <c r="F90" s="42" t="e">
        <f t="shared" si="6"/>
        <v>#VALUE!</v>
      </c>
      <c r="G90" s="50" t="e">
        <f t="shared" si="7"/>
        <v>#VALUE!</v>
      </c>
      <c r="H90" s="41" t="e">
        <f t="shared" si="8"/>
        <v>#VALUE!</v>
      </c>
      <c r="I90" s="41" t="e">
        <f t="shared" si="9"/>
        <v>#VALUE!</v>
      </c>
      <c r="J90" s="45" t="e">
        <f t="shared" si="10"/>
        <v>#VALUE!</v>
      </c>
      <c r="M90" s="48" t="b">
        <f t="shared" si="11"/>
        <v>0</v>
      </c>
      <c r="N90" s="49" t="e">
        <f t="shared" ref="N90:DJ90" si="107">IF(N$1&gt;$L$2,   "",   IF(N$1=$L$2,  1,  IF($L$2-N$1=$L$1-$M90, $L$3^($L$1-$M90), ($L$3*N91*O91/(N91+($L$3-1)*O91) ))))</f>
        <v>#DIV/0!</v>
      </c>
      <c r="O90" s="49" t="e">
        <f t="shared" si="107"/>
        <v>#DIV/0!</v>
      </c>
      <c r="P90" s="49" t="e">
        <f t="shared" si="107"/>
        <v>#DIV/0!</v>
      </c>
      <c r="Q90" s="49" t="e">
        <f t="shared" si="107"/>
        <v>#DIV/0!</v>
      </c>
      <c r="R90" s="49">
        <f t="shared" si="107"/>
        <v>1</v>
      </c>
      <c r="S90" s="49" t="str">
        <f t="shared" si="107"/>
        <v/>
      </c>
      <c r="T90" s="49" t="str">
        <f t="shared" si="107"/>
        <v/>
      </c>
      <c r="U90" s="49" t="str">
        <f t="shared" si="107"/>
        <v/>
      </c>
      <c r="V90" s="49" t="str">
        <f t="shared" si="107"/>
        <v/>
      </c>
      <c r="W90" s="49" t="str">
        <f t="shared" si="107"/>
        <v/>
      </c>
      <c r="X90" s="49" t="str">
        <f t="shared" si="107"/>
        <v/>
      </c>
      <c r="Y90" s="49" t="str">
        <f t="shared" si="107"/>
        <v/>
      </c>
      <c r="Z90" s="49" t="str">
        <f t="shared" si="107"/>
        <v/>
      </c>
      <c r="AA90" s="49" t="str">
        <f t="shared" si="107"/>
        <v/>
      </c>
      <c r="AB90" s="49" t="str">
        <f t="shared" si="107"/>
        <v/>
      </c>
      <c r="AC90" s="49" t="str">
        <f t="shared" si="107"/>
        <v/>
      </c>
      <c r="AD90" s="49" t="str">
        <f t="shared" si="107"/>
        <v/>
      </c>
      <c r="AE90" s="49" t="str">
        <f t="shared" si="107"/>
        <v/>
      </c>
      <c r="AF90" s="49" t="str">
        <f t="shared" si="107"/>
        <v/>
      </c>
      <c r="AG90" s="49" t="str">
        <f t="shared" si="107"/>
        <v/>
      </c>
      <c r="AH90" s="49" t="str">
        <f t="shared" si="107"/>
        <v/>
      </c>
      <c r="AI90" s="49" t="str">
        <f t="shared" si="107"/>
        <v/>
      </c>
      <c r="AJ90" s="49" t="str">
        <f t="shared" si="107"/>
        <v/>
      </c>
      <c r="AK90" s="49" t="str">
        <f t="shared" si="107"/>
        <v/>
      </c>
      <c r="AL90" s="49" t="str">
        <f t="shared" si="107"/>
        <v/>
      </c>
      <c r="AM90" s="49" t="str">
        <f t="shared" si="107"/>
        <v/>
      </c>
      <c r="AN90" s="49" t="str">
        <f t="shared" si="107"/>
        <v/>
      </c>
      <c r="AO90" s="49" t="str">
        <f t="shared" si="107"/>
        <v/>
      </c>
      <c r="AP90" s="49" t="str">
        <f t="shared" si="107"/>
        <v/>
      </c>
      <c r="AQ90" s="49" t="str">
        <f t="shared" si="107"/>
        <v/>
      </c>
      <c r="AR90" s="49" t="str">
        <f t="shared" si="107"/>
        <v/>
      </c>
      <c r="AS90" s="49" t="str">
        <f t="shared" si="107"/>
        <v/>
      </c>
      <c r="AT90" s="49" t="str">
        <f t="shared" si="107"/>
        <v/>
      </c>
      <c r="AU90" s="49" t="str">
        <f t="shared" si="107"/>
        <v/>
      </c>
      <c r="AV90" s="49" t="str">
        <f t="shared" si="107"/>
        <v/>
      </c>
      <c r="AW90" s="49" t="str">
        <f t="shared" si="107"/>
        <v/>
      </c>
      <c r="AX90" s="49" t="str">
        <f t="shared" si="107"/>
        <v/>
      </c>
      <c r="AY90" s="49" t="str">
        <f t="shared" si="107"/>
        <v/>
      </c>
      <c r="AZ90" s="49" t="str">
        <f t="shared" si="107"/>
        <v/>
      </c>
      <c r="BA90" s="49" t="str">
        <f t="shared" si="107"/>
        <v/>
      </c>
      <c r="BB90" s="49" t="str">
        <f t="shared" si="107"/>
        <v/>
      </c>
      <c r="BC90" s="49" t="str">
        <f t="shared" si="107"/>
        <v/>
      </c>
      <c r="BD90" s="49" t="str">
        <f t="shared" si="107"/>
        <v/>
      </c>
      <c r="BE90" s="49" t="str">
        <f t="shared" si="107"/>
        <v/>
      </c>
      <c r="BF90" s="49" t="str">
        <f t="shared" si="107"/>
        <v/>
      </c>
      <c r="BG90" s="49" t="str">
        <f t="shared" si="107"/>
        <v/>
      </c>
      <c r="BH90" s="49" t="str">
        <f t="shared" si="107"/>
        <v/>
      </c>
      <c r="BI90" s="49" t="str">
        <f t="shared" si="107"/>
        <v/>
      </c>
      <c r="BJ90" s="49" t="str">
        <f t="shared" si="107"/>
        <v/>
      </c>
      <c r="BK90" s="49" t="str">
        <f t="shared" si="107"/>
        <v/>
      </c>
      <c r="BL90" s="49" t="str">
        <f t="shared" si="107"/>
        <v/>
      </c>
      <c r="BM90" s="49" t="str">
        <f t="shared" si="107"/>
        <v/>
      </c>
      <c r="BN90" s="49" t="str">
        <f t="shared" si="107"/>
        <v/>
      </c>
      <c r="BO90" s="49" t="str">
        <f t="shared" si="107"/>
        <v/>
      </c>
      <c r="BP90" s="49" t="str">
        <f t="shared" si="107"/>
        <v/>
      </c>
      <c r="BQ90" s="49" t="str">
        <f t="shared" si="107"/>
        <v/>
      </c>
      <c r="BR90" s="49" t="str">
        <f t="shared" si="107"/>
        <v/>
      </c>
      <c r="BS90" s="49" t="str">
        <f t="shared" si="107"/>
        <v/>
      </c>
      <c r="BT90" s="49" t="str">
        <f t="shared" si="107"/>
        <v/>
      </c>
      <c r="BU90" s="49" t="str">
        <f t="shared" si="107"/>
        <v/>
      </c>
      <c r="BV90" s="49" t="str">
        <f t="shared" si="107"/>
        <v/>
      </c>
      <c r="BW90" s="49" t="str">
        <f t="shared" si="107"/>
        <v/>
      </c>
      <c r="BX90" s="49" t="str">
        <f t="shared" si="107"/>
        <v/>
      </c>
      <c r="BY90" s="49" t="str">
        <f t="shared" si="107"/>
        <v/>
      </c>
      <c r="BZ90" s="49" t="str">
        <f t="shared" si="107"/>
        <v/>
      </c>
      <c r="CA90" s="49" t="str">
        <f t="shared" si="107"/>
        <v/>
      </c>
      <c r="CB90" s="49" t="str">
        <f t="shared" si="107"/>
        <v/>
      </c>
      <c r="CC90" s="49" t="str">
        <f t="shared" si="107"/>
        <v/>
      </c>
      <c r="CD90" s="49" t="str">
        <f t="shared" si="107"/>
        <v/>
      </c>
      <c r="CE90" s="49" t="str">
        <f t="shared" si="107"/>
        <v/>
      </c>
      <c r="CF90" s="49" t="str">
        <f t="shared" si="107"/>
        <v/>
      </c>
      <c r="CG90" s="49" t="str">
        <f t="shared" si="107"/>
        <v/>
      </c>
      <c r="CH90" s="49" t="str">
        <f t="shared" si="107"/>
        <v/>
      </c>
      <c r="CI90" s="49" t="str">
        <f t="shared" si="107"/>
        <v/>
      </c>
      <c r="CJ90" s="49" t="str">
        <f t="shared" si="107"/>
        <v/>
      </c>
      <c r="CK90" s="49" t="str">
        <f t="shared" si="107"/>
        <v/>
      </c>
      <c r="CL90" s="49" t="str">
        <f t="shared" si="107"/>
        <v/>
      </c>
      <c r="CM90" s="49" t="str">
        <f t="shared" si="107"/>
        <v/>
      </c>
      <c r="CN90" s="49" t="str">
        <f t="shared" si="107"/>
        <v/>
      </c>
      <c r="CO90" s="49" t="str">
        <f t="shared" si="107"/>
        <v/>
      </c>
      <c r="CP90" s="49" t="str">
        <f t="shared" si="107"/>
        <v/>
      </c>
      <c r="CQ90" s="49" t="str">
        <f t="shared" si="107"/>
        <v/>
      </c>
      <c r="CR90" s="49" t="str">
        <f t="shared" si="107"/>
        <v/>
      </c>
      <c r="CS90" s="49" t="str">
        <f t="shared" si="107"/>
        <v/>
      </c>
      <c r="CT90" s="49" t="str">
        <f t="shared" si="107"/>
        <v/>
      </c>
      <c r="CU90" s="49" t="str">
        <f t="shared" si="107"/>
        <v/>
      </c>
      <c r="CV90" s="49" t="str">
        <f t="shared" si="107"/>
        <v/>
      </c>
      <c r="CW90" s="49" t="str">
        <f t="shared" si="107"/>
        <v/>
      </c>
      <c r="CX90" s="49" t="str">
        <f t="shared" si="107"/>
        <v/>
      </c>
      <c r="CY90" s="49" t="str">
        <f t="shared" si="107"/>
        <v/>
      </c>
      <c r="CZ90" s="49" t="str">
        <f t="shared" si="107"/>
        <v/>
      </c>
      <c r="DA90" s="49" t="str">
        <f t="shared" si="107"/>
        <v/>
      </c>
      <c r="DB90" s="49" t="str">
        <f t="shared" si="107"/>
        <v/>
      </c>
      <c r="DC90" s="49" t="str">
        <f t="shared" si="107"/>
        <v/>
      </c>
      <c r="DD90" s="49" t="str">
        <f t="shared" si="107"/>
        <v/>
      </c>
      <c r="DE90" s="49" t="str">
        <f t="shared" si="107"/>
        <v/>
      </c>
      <c r="DF90" s="49" t="str">
        <f t="shared" si="107"/>
        <v/>
      </c>
      <c r="DG90" s="49" t="str">
        <f t="shared" si="107"/>
        <v/>
      </c>
      <c r="DH90" s="49" t="str">
        <f t="shared" si="107"/>
        <v/>
      </c>
      <c r="DI90" s="49" t="str">
        <f t="shared" si="107"/>
        <v/>
      </c>
      <c r="DJ90" s="49" t="str">
        <f t="shared" si="107"/>
        <v/>
      </c>
    </row>
    <row r="91" spans="1:114" ht="15.75" customHeight="1" x14ac:dyDescent="0.55000000000000004">
      <c r="A91" s="41" t="e">
        <f>MASANIELLO!#REF!</f>
        <v>#REF!</v>
      </c>
      <c r="B91" s="41" t="e">
        <f t="shared" si="2"/>
        <v>#VALUE!</v>
      </c>
      <c r="C91" s="42" t="e">
        <f t="shared" si="3"/>
        <v>#VALUE!</v>
      </c>
      <c r="D91" s="42" t="e">
        <f t="shared" si="4"/>
        <v>#VALUE!</v>
      </c>
      <c r="E91" s="42" t="e">
        <f t="shared" si="5"/>
        <v>#VALUE!</v>
      </c>
      <c r="F91" s="42" t="e">
        <f t="shared" si="6"/>
        <v>#VALUE!</v>
      </c>
      <c r="G91" s="50" t="e">
        <f t="shared" si="7"/>
        <v>#VALUE!</v>
      </c>
      <c r="H91" s="41" t="e">
        <f t="shared" si="8"/>
        <v>#VALUE!</v>
      </c>
      <c r="I91" s="41" t="e">
        <f t="shared" si="9"/>
        <v>#VALUE!</v>
      </c>
      <c r="J91" s="45" t="e">
        <f t="shared" si="10"/>
        <v>#VALUE!</v>
      </c>
      <c r="M91" s="48" t="b">
        <f t="shared" si="11"/>
        <v>0</v>
      </c>
      <c r="N91" s="49" t="e">
        <f t="shared" ref="N91:DJ91" si="108">IF(N$1&gt;$L$2,   "",   IF(N$1=$L$2,  1,  IF($L$2-N$1=$L$1-$M91, $L$3^($L$1-$M91), ($L$3*N92*O92/(N92+($L$3-1)*O92) ))))</f>
        <v>#DIV/0!</v>
      </c>
      <c r="O91" s="49" t="e">
        <f t="shared" si="108"/>
        <v>#DIV/0!</v>
      </c>
      <c r="P91" s="49" t="e">
        <f t="shared" si="108"/>
        <v>#DIV/0!</v>
      </c>
      <c r="Q91" s="49" t="e">
        <f t="shared" si="108"/>
        <v>#DIV/0!</v>
      </c>
      <c r="R91" s="49">
        <f t="shared" si="108"/>
        <v>1</v>
      </c>
      <c r="S91" s="49" t="str">
        <f t="shared" si="108"/>
        <v/>
      </c>
      <c r="T91" s="49" t="str">
        <f t="shared" si="108"/>
        <v/>
      </c>
      <c r="U91" s="49" t="str">
        <f t="shared" si="108"/>
        <v/>
      </c>
      <c r="V91" s="49" t="str">
        <f t="shared" si="108"/>
        <v/>
      </c>
      <c r="W91" s="49" t="str">
        <f t="shared" si="108"/>
        <v/>
      </c>
      <c r="X91" s="49" t="str">
        <f t="shared" si="108"/>
        <v/>
      </c>
      <c r="Y91" s="49" t="str">
        <f t="shared" si="108"/>
        <v/>
      </c>
      <c r="Z91" s="49" t="str">
        <f t="shared" si="108"/>
        <v/>
      </c>
      <c r="AA91" s="49" t="str">
        <f t="shared" si="108"/>
        <v/>
      </c>
      <c r="AB91" s="49" t="str">
        <f t="shared" si="108"/>
        <v/>
      </c>
      <c r="AC91" s="49" t="str">
        <f t="shared" si="108"/>
        <v/>
      </c>
      <c r="AD91" s="49" t="str">
        <f t="shared" si="108"/>
        <v/>
      </c>
      <c r="AE91" s="49" t="str">
        <f t="shared" si="108"/>
        <v/>
      </c>
      <c r="AF91" s="49" t="str">
        <f t="shared" si="108"/>
        <v/>
      </c>
      <c r="AG91" s="49" t="str">
        <f t="shared" si="108"/>
        <v/>
      </c>
      <c r="AH91" s="49" t="str">
        <f t="shared" si="108"/>
        <v/>
      </c>
      <c r="AI91" s="49" t="str">
        <f t="shared" si="108"/>
        <v/>
      </c>
      <c r="AJ91" s="49" t="str">
        <f t="shared" si="108"/>
        <v/>
      </c>
      <c r="AK91" s="49" t="str">
        <f t="shared" si="108"/>
        <v/>
      </c>
      <c r="AL91" s="49" t="str">
        <f t="shared" si="108"/>
        <v/>
      </c>
      <c r="AM91" s="49" t="str">
        <f t="shared" si="108"/>
        <v/>
      </c>
      <c r="AN91" s="49" t="str">
        <f t="shared" si="108"/>
        <v/>
      </c>
      <c r="AO91" s="49" t="str">
        <f t="shared" si="108"/>
        <v/>
      </c>
      <c r="AP91" s="49" t="str">
        <f t="shared" si="108"/>
        <v/>
      </c>
      <c r="AQ91" s="49" t="str">
        <f t="shared" si="108"/>
        <v/>
      </c>
      <c r="AR91" s="49" t="str">
        <f t="shared" si="108"/>
        <v/>
      </c>
      <c r="AS91" s="49" t="str">
        <f t="shared" si="108"/>
        <v/>
      </c>
      <c r="AT91" s="49" t="str">
        <f t="shared" si="108"/>
        <v/>
      </c>
      <c r="AU91" s="49" t="str">
        <f t="shared" si="108"/>
        <v/>
      </c>
      <c r="AV91" s="49" t="str">
        <f t="shared" si="108"/>
        <v/>
      </c>
      <c r="AW91" s="49" t="str">
        <f t="shared" si="108"/>
        <v/>
      </c>
      <c r="AX91" s="49" t="str">
        <f t="shared" si="108"/>
        <v/>
      </c>
      <c r="AY91" s="49" t="str">
        <f t="shared" si="108"/>
        <v/>
      </c>
      <c r="AZ91" s="49" t="str">
        <f t="shared" si="108"/>
        <v/>
      </c>
      <c r="BA91" s="49" t="str">
        <f t="shared" si="108"/>
        <v/>
      </c>
      <c r="BB91" s="49" t="str">
        <f t="shared" si="108"/>
        <v/>
      </c>
      <c r="BC91" s="49" t="str">
        <f t="shared" si="108"/>
        <v/>
      </c>
      <c r="BD91" s="49" t="str">
        <f t="shared" si="108"/>
        <v/>
      </c>
      <c r="BE91" s="49" t="str">
        <f t="shared" si="108"/>
        <v/>
      </c>
      <c r="BF91" s="49" t="str">
        <f t="shared" si="108"/>
        <v/>
      </c>
      <c r="BG91" s="49" t="str">
        <f t="shared" si="108"/>
        <v/>
      </c>
      <c r="BH91" s="49" t="str">
        <f t="shared" si="108"/>
        <v/>
      </c>
      <c r="BI91" s="49" t="str">
        <f t="shared" si="108"/>
        <v/>
      </c>
      <c r="BJ91" s="49" t="str">
        <f t="shared" si="108"/>
        <v/>
      </c>
      <c r="BK91" s="49" t="str">
        <f t="shared" si="108"/>
        <v/>
      </c>
      <c r="BL91" s="49" t="str">
        <f t="shared" si="108"/>
        <v/>
      </c>
      <c r="BM91" s="49" t="str">
        <f t="shared" si="108"/>
        <v/>
      </c>
      <c r="BN91" s="49" t="str">
        <f t="shared" si="108"/>
        <v/>
      </c>
      <c r="BO91" s="49" t="str">
        <f t="shared" si="108"/>
        <v/>
      </c>
      <c r="BP91" s="49" t="str">
        <f t="shared" si="108"/>
        <v/>
      </c>
      <c r="BQ91" s="49" t="str">
        <f t="shared" si="108"/>
        <v/>
      </c>
      <c r="BR91" s="49" t="str">
        <f t="shared" si="108"/>
        <v/>
      </c>
      <c r="BS91" s="49" t="str">
        <f t="shared" si="108"/>
        <v/>
      </c>
      <c r="BT91" s="49" t="str">
        <f t="shared" si="108"/>
        <v/>
      </c>
      <c r="BU91" s="49" t="str">
        <f t="shared" si="108"/>
        <v/>
      </c>
      <c r="BV91" s="49" t="str">
        <f t="shared" si="108"/>
        <v/>
      </c>
      <c r="BW91" s="49" t="str">
        <f t="shared" si="108"/>
        <v/>
      </c>
      <c r="BX91" s="49" t="str">
        <f t="shared" si="108"/>
        <v/>
      </c>
      <c r="BY91" s="49" t="str">
        <f t="shared" si="108"/>
        <v/>
      </c>
      <c r="BZ91" s="49" t="str">
        <f t="shared" si="108"/>
        <v/>
      </c>
      <c r="CA91" s="49" t="str">
        <f t="shared" si="108"/>
        <v/>
      </c>
      <c r="CB91" s="49" t="str">
        <f t="shared" si="108"/>
        <v/>
      </c>
      <c r="CC91" s="49" t="str">
        <f t="shared" si="108"/>
        <v/>
      </c>
      <c r="CD91" s="49" t="str">
        <f t="shared" si="108"/>
        <v/>
      </c>
      <c r="CE91" s="49" t="str">
        <f t="shared" si="108"/>
        <v/>
      </c>
      <c r="CF91" s="49" t="str">
        <f t="shared" si="108"/>
        <v/>
      </c>
      <c r="CG91" s="49" t="str">
        <f t="shared" si="108"/>
        <v/>
      </c>
      <c r="CH91" s="49" t="str">
        <f t="shared" si="108"/>
        <v/>
      </c>
      <c r="CI91" s="49" t="str">
        <f t="shared" si="108"/>
        <v/>
      </c>
      <c r="CJ91" s="49" t="str">
        <f t="shared" si="108"/>
        <v/>
      </c>
      <c r="CK91" s="49" t="str">
        <f t="shared" si="108"/>
        <v/>
      </c>
      <c r="CL91" s="49" t="str">
        <f t="shared" si="108"/>
        <v/>
      </c>
      <c r="CM91" s="49" t="str">
        <f t="shared" si="108"/>
        <v/>
      </c>
      <c r="CN91" s="49" t="str">
        <f t="shared" si="108"/>
        <v/>
      </c>
      <c r="CO91" s="49" t="str">
        <f t="shared" si="108"/>
        <v/>
      </c>
      <c r="CP91" s="49" t="str">
        <f t="shared" si="108"/>
        <v/>
      </c>
      <c r="CQ91" s="49" t="str">
        <f t="shared" si="108"/>
        <v/>
      </c>
      <c r="CR91" s="49" t="str">
        <f t="shared" si="108"/>
        <v/>
      </c>
      <c r="CS91" s="49" t="str">
        <f t="shared" si="108"/>
        <v/>
      </c>
      <c r="CT91" s="49" t="str">
        <f t="shared" si="108"/>
        <v/>
      </c>
      <c r="CU91" s="49" t="str">
        <f t="shared" si="108"/>
        <v/>
      </c>
      <c r="CV91" s="49" t="str">
        <f t="shared" si="108"/>
        <v/>
      </c>
      <c r="CW91" s="49" t="str">
        <f t="shared" si="108"/>
        <v/>
      </c>
      <c r="CX91" s="49" t="str">
        <f t="shared" si="108"/>
        <v/>
      </c>
      <c r="CY91" s="49" t="str">
        <f t="shared" si="108"/>
        <v/>
      </c>
      <c r="CZ91" s="49" t="str">
        <f t="shared" si="108"/>
        <v/>
      </c>
      <c r="DA91" s="49" t="str">
        <f t="shared" si="108"/>
        <v/>
      </c>
      <c r="DB91" s="49" t="str">
        <f t="shared" si="108"/>
        <v/>
      </c>
      <c r="DC91" s="49" t="str">
        <f t="shared" si="108"/>
        <v/>
      </c>
      <c r="DD91" s="49" t="str">
        <f t="shared" si="108"/>
        <v/>
      </c>
      <c r="DE91" s="49" t="str">
        <f t="shared" si="108"/>
        <v/>
      </c>
      <c r="DF91" s="49" t="str">
        <f t="shared" si="108"/>
        <v/>
      </c>
      <c r="DG91" s="49" t="str">
        <f t="shared" si="108"/>
        <v/>
      </c>
      <c r="DH91" s="49" t="str">
        <f t="shared" si="108"/>
        <v/>
      </c>
      <c r="DI91" s="49" t="str">
        <f t="shared" si="108"/>
        <v/>
      </c>
      <c r="DJ91" s="49" t="str">
        <f t="shared" si="108"/>
        <v/>
      </c>
    </row>
    <row r="92" spans="1:114" ht="15.75" customHeight="1" x14ac:dyDescent="0.55000000000000004">
      <c r="A92" s="41" t="e">
        <f>MASANIELLO!#REF!</f>
        <v>#REF!</v>
      </c>
      <c r="B92" s="41" t="e">
        <f t="shared" si="2"/>
        <v>#VALUE!</v>
      </c>
      <c r="C92" s="42" t="e">
        <f t="shared" si="3"/>
        <v>#VALUE!</v>
      </c>
      <c r="D92" s="42" t="e">
        <f t="shared" si="4"/>
        <v>#VALUE!</v>
      </c>
      <c r="E92" s="42" t="e">
        <f t="shared" si="5"/>
        <v>#VALUE!</v>
      </c>
      <c r="F92" s="42" t="e">
        <f t="shared" si="6"/>
        <v>#VALUE!</v>
      </c>
      <c r="G92" s="50" t="e">
        <f t="shared" si="7"/>
        <v>#VALUE!</v>
      </c>
      <c r="H92" s="41" t="e">
        <f t="shared" si="8"/>
        <v>#VALUE!</v>
      </c>
      <c r="I92" s="41" t="e">
        <f t="shared" si="9"/>
        <v>#VALUE!</v>
      </c>
      <c r="J92" s="45" t="e">
        <f t="shared" si="10"/>
        <v>#VALUE!</v>
      </c>
      <c r="M92" s="48" t="b">
        <f t="shared" si="11"/>
        <v>0</v>
      </c>
      <c r="N92" s="49" t="e">
        <f t="shared" ref="N92:DJ92" si="109">IF(N$1&gt;$L$2,   "",   IF(N$1=$L$2,  1,  IF($L$2-N$1=$L$1-$M92, $L$3^($L$1-$M92), ($L$3*N93*O93/(N93+($L$3-1)*O93) ))))</f>
        <v>#DIV/0!</v>
      </c>
      <c r="O92" s="49" t="e">
        <f t="shared" si="109"/>
        <v>#DIV/0!</v>
      </c>
      <c r="P92" s="49" t="e">
        <f t="shared" si="109"/>
        <v>#DIV/0!</v>
      </c>
      <c r="Q92" s="49" t="e">
        <f t="shared" si="109"/>
        <v>#DIV/0!</v>
      </c>
      <c r="R92" s="49">
        <f t="shared" si="109"/>
        <v>1</v>
      </c>
      <c r="S92" s="49" t="str">
        <f t="shared" si="109"/>
        <v/>
      </c>
      <c r="T92" s="49" t="str">
        <f t="shared" si="109"/>
        <v/>
      </c>
      <c r="U92" s="49" t="str">
        <f t="shared" si="109"/>
        <v/>
      </c>
      <c r="V92" s="49" t="str">
        <f t="shared" si="109"/>
        <v/>
      </c>
      <c r="W92" s="49" t="str">
        <f t="shared" si="109"/>
        <v/>
      </c>
      <c r="X92" s="49" t="str">
        <f t="shared" si="109"/>
        <v/>
      </c>
      <c r="Y92" s="49" t="str">
        <f t="shared" si="109"/>
        <v/>
      </c>
      <c r="Z92" s="49" t="str">
        <f t="shared" si="109"/>
        <v/>
      </c>
      <c r="AA92" s="49" t="str">
        <f t="shared" si="109"/>
        <v/>
      </c>
      <c r="AB92" s="49" t="str">
        <f t="shared" si="109"/>
        <v/>
      </c>
      <c r="AC92" s="49" t="str">
        <f t="shared" si="109"/>
        <v/>
      </c>
      <c r="AD92" s="49" t="str">
        <f t="shared" si="109"/>
        <v/>
      </c>
      <c r="AE92" s="49" t="str">
        <f t="shared" si="109"/>
        <v/>
      </c>
      <c r="AF92" s="49" t="str">
        <f t="shared" si="109"/>
        <v/>
      </c>
      <c r="AG92" s="49" t="str">
        <f t="shared" si="109"/>
        <v/>
      </c>
      <c r="AH92" s="49" t="str">
        <f t="shared" si="109"/>
        <v/>
      </c>
      <c r="AI92" s="49" t="str">
        <f t="shared" si="109"/>
        <v/>
      </c>
      <c r="AJ92" s="49" t="str">
        <f t="shared" si="109"/>
        <v/>
      </c>
      <c r="AK92" s="49" t="str">
        <f t="shared" si="109"/>
        <v/>
      </c>
      <c r="AL92" s="49" t="str">
        <f t="shared" si="109"/>
        <v/>
      </c>
      <c r="AM92" s="49" t="str">
        <f t="shared" si="109"/>
        <v/>
      </c>
      <c r="AN92" s="49" t="str">
        <f t="shared" si="109"/>
        <v/>
      </c>
      <c r="AO92" s="49" t="str">
        <f t="shared" si="109"/>
        <v/>
      </c>
      <c r="AP92" s="49" t="str">
        <f t="shared" si="109"/>
        <v/>
      </c>
      <c r="AQ92" s="49" t="str">
        <f t="shared" si="109"/>
        <v/>
      </c>
      <c r="AR92" s="49" t="str">
        <f t="shared" si="109"/>
        <v/>
      </c>
      <c r="AS92" s="49" t="str">
        <f t="shared" si="109"/>
        <v/>
      </c>
      <c r="AT92" s="49" t="str">
        <f t="shared" si="109"/>
        <v/>
      </c>
      <c r="AU92" s="49" t="str">
        <f t="shared" si="109"/>
        <v/>
      </c>
      <c r="AV92" s="49" t="str">
        <f t="shared" si="109"/>
        <v/>
      </c>
      <c r="AW92" s="49" t="str">
        <f t="shared" si="109"/>
        <v/>
      </c>
      <c r="AX92" s="49" t="str">
        <f t="shared" si="109"/>
        <v/>
      </c>
      <c r="AY92" s="49" t="str">
        <f t="shared" si="109"/>
        <v/>
      </c>
      <c r="AZ92" s="49" t="str">
        <f t="shared" si="109"/>
        <v/>
      </c>
      <c r="BA92" s="49" t="str">
        <f t="shared" si="109"/>
        <v/>
      </c>
      <c r="BB92" s="49" t="str">
        <f t="shared" si="109"/>
        <v/>
      </c>
      <c r="BC92" s="49" t="str">
        <f t="shared" si="109"/>
        <v/>
      </c>
      <c r="BD92" s="49" t="str">
        <f t="shared" si="109"/>
        <v/>
      </c>
      <c r="BE92" s="49" t="str">
        <f t="shared" si="109"/>
        <v/>
      </c>
      <c r="BF92" s="49" t="str">
        <f t="shared" si="109"/>
        <v/>
      </c>
      <c r="BG92" s="49" t="str">
        <f t="shared" si="109"/>
        <v/>
      </c>
      <c r="BH92" s="49" t="str">
        <f t="shared" si="109"/>
        <v/>
      </c>
      <c r="BI92" s="49" t="str">
        <f t="shared" si="109"/>
        <v/>
      </c>
      <c r="BJ92" s="49" t="str">
        <f t="shared" si="109"/>
        <v/>
      </c>
      <c r="BK92" s="49" t="str">
        <f t="shared" si="109"/>
        <v/>
      </c>
      <c r="BL92" s="49" t="str">
        <f t="shared" si="109"/>
        <v/>
      </c>
      <c r="BM92" s="49" t="str">
        <f t="shared" si="109"/>
        <v/>
      </c>
      <c r="BN92" s="49" t="str">
        <f t="shared" si="109"/>
        <v/>
      </c>
      <c r="BO92" s="49" t="str">
        <f t="shared" si="109"/>
        <v/>
      </c>
      <c r="BP92" s="49" t="str">
        <f t="shared" si="109"/>
        <v/>
      </c>
      <c r="BQ92" s="49" t="str">
        <f t="shared" si="109"/>
        <v/>
      </c>
      <c r="BR92" s="49" t="str">
        <f t="shared" si="109"/>
        <v/>
      </c>
      <c r="BS92" s="49" t="str">
        <f t="shared" si="109"/>
        <v/>
      </c>
      <c r="BT92" s="49" t="str">
        <f t="shared" si="109"/>
        <v/>
      </c>
      <c r="BU92" s="49" t="str">
        <f t="shared" si="109"/>
        <v/>
      </c>
      <c r="BV92" s="49" t="str">
        <f t="shared" si="109"/>
        <v/>
      </c>
      <c r="BW92" s="49" t="str">
        <f t="shared" si="109"/>
        <v/>
      </c>
      <c r="BX92" s="49" t="str">
        <f t="shared" si="109"/>
        <v/>
      </c>
      <c r="BY92" s="49" t="str">
        <f t="shared" si="109"/>
        <v/>
      </c>
      <c r="BZ92" s="49" t="str">
        <f t="shared" si="109"/>
        <v/>
      </c>
      <c r="CA92" s="49" t="str">
        <f t="shared" si="109"/>
        <v/>
      </c>
      <c r="CB92" s="49" t="str">
        <f t="shared" si="109"/>
        <v/>
      </c>
      <c r="CC92" s="49" t="str">
        <f t="shared" si="109"/>
        <v/>
      </c>
      <c r="CD92" s="49" t="str">
        <f t="shared" si="109"/>
        <v/>
      </c>
      <c r="CE92" s="49" t="str">
        <f t="shared" si="109"/>
        <v/>
      </c>
      <c r="CF92" s="49" t="str">
        <f t="shared" si="109"/>
        <v/>
      </c>
      <c r="CG92" s="49" t="str">
        <f t="shared" si="109"/>
        <v/>
      </c>
      <c r="CH92" s="49" t="str">
        <f t="shared" si="109"/>
        <v/>
      </c>
      <c r="CI92" s="49" t="str">
        <f t="shared" si="109"/>
        <v/>
      </c>
      <c r="CJ92" s="49" t="str">
        <f t="shared" si="109"/>
        <v/>
      </c>
      <c r="CK92" s="49" t="str">
        <f t="shared" si="109"/>
        <v/>
      </c>
      <c r="CL92" s="49" t="str">
        <f t="shared" si="109"/>
        <v/>
      </c>
      <c r="CM92" s="49" t="str">
        <f t="shared" si="109"/>
        <v/>
      </c>
      <c r="CN92" s="49" t="str">
        <f t="shared" si="109"/>
        <v/>
      </c>
      <c r="CO92" s="49" t="str">
        <f t="shared" si="109"/>
        <v/>
      </c>
      <c r="CP92" s="49" t="str">
        <f t="shared" si="109"/>
        <v/>
      </c>
      <c r="CQ92" s="49" t="str">
        <f t="shared" si="109"/>
        <v/>
      </c>
      <c r="CR92" s="49" t="str">
        <f t="shared" si="109"/>
        <v/>
      </c>
      <c r="CS92" s="49" t="str">
        <f t="shared" si="109"/>
        <v/>
      </c>
      <c r="CT92" s="49" t="str">
        <f t="shared" si="109"/>
        <v/>
      </c>
      <c r="CU92" s="49" t="str">
        <f t="shared" si="109"/>
        <v/>
      </c>
      <c r="CV92" s="49" t="str">
        <f t="shared" si="109"/>
        <v/>
      </c>
      <c r="CW92" s="49" t="str">
        <f t="shared" si="109"/>
        <v/>
      </c>
      <c r="CX92" s="49" t="str">
        <f t="shared" si="109"/>
        <v/>
      </c>
      <c r="CY92" s="49" t="str">
        <f t="shared" si="109"/>
        <v/>
      </c>
      <c r="CZ92" s="49" t="str">
        <f t="shared" si="109"/>
        <v/>
      </c>
      <c r="DA92" s="49" t="str">
        <f t="shared" si="109"/>
        <v/>
      </c>
      <c r="DB92" s="49" t="str">
        <f t="shared" si="109"/>
        <v/>
      </c>
      <c r="DC92" s="49" t="str">
        <f t="shared" si="109"/>
        <v/>
      </c>
      <c r="DD92" s="49" t="str">
        <f t="shared" si="109"/>
        <v/>
      </c>
      <c r="DE92" s="49" t="str">
        <f t="shared" si="109"/>
        <v/>
      </c>
      <c r="DF92" s="49" t="str">
        <f t="shared" si="109"/>
        <v/>
      </c>
      <c r="DG92" s="49" t="str">
        <f t="shared" si="109"/>
        <v/>
      </c>
      <c r="DH92" s="49" t="str">
        <f t="shared" si="109"/>
        <v/>
      </c>
      <c r="DI92" s="49" t="str">
        <f t="shared" si="109"/>
        <v/>
      </c>
      <c r="DJ92" s="49" t="str">
        <f t="shared" si="109"/>
        <v/>
      </c>
    </row>
    <row r="93" spans="1:114" ht="15.75" customHeight="1" x14ac:dyDescent="0.55000000000000004">
      <c r="A93" s="41" t="e">
        <f>MASANIELLO!#REF!</f>
        <v>#REF!</v>
      </c>
      <c r="B93" s="41" t="e">
        <f t="shared" si="2"/>
        <v>#VALUE!</v>
      </c>
      <c r="C93" s="42" t="e">
        <f t="shared" si="3"/>
        <v>#VALUE!</v>
      </c>
      <c r="D93" s="42" t="e">
        <f t="shared" si="4"/>
        <v>#VALUE!</v>
      </c>
      <c r="E93" s="42" t="e">
        <f t="shared" si="5"/>
        <v>#VALUE!</v>
      </c>
      <c r="F93" s="42" t="e">
        <f t="shared" si="6"/>
        <v>#VALUE!</v>
      </c>
      <c r="G93" s="50" t="e">
        <f t="shared" si="7"/>
        <v>#VALUE!</v>
      </c>
      <c r="H93" s="41" t="e">
        <f t="shared" si="8"/>
        <v>#VALUE!</v>
      </c>
      <c r="I93" s="41" t="e">
        <f t="shared" si="9"/>
        <v>#VALUE!</v>
      </c>
      <c r="J93" s="45" t="e">
        <f t="shared" si="10"/>
        <v>#VALUE!</v>
      </c>
      <c r="M93" s="48" t="b">
        <f t="shared" si="11"/>
        <v>0</v>
      </c>
      <c r="N93" s="49" t="e">
        <f t="shared" ref="N93:DJ93" si="110">IF(N$1&gt;$L$2,   "",   IF(N$1=$L$2,  1,  IF($L$2-N$1=$L$1-$M93, $L$3^($L$1-$M93), ($L$3*N94*O94/(N94+($L$3-1)*O94) ))))</f>
        <v>#DIV/0!</v>
      </c>
      <c r="O93" s="49" t="e">
        <f t="shared" si="110"/>
        <v>#DIV/0!</v>
      </c>
      <c r="P93" s="49" t="e">
        <f t="shared" si="110"/>
        <v>#DIV/0!</v>
      </c>
      <c r="Q93" s="49" t="e">
        <f t="shared" si="110"/>
        <v>#DIV/0!</v>
      </c>
      <c r="R93" s="49">
        <f t="shared" si="110"/>
        <v>1</v>
      </c>
      <c r="S93" s="49" t="str">
        <f t="shared" si="110"/>
        <v/>
      </c>
      <c r="T93" s="49" t="str">
        <f t="shared" si="110"/>
        <v/>
      </c>
      <c r="U93" s="49" t="str">
        <f t="shared" si="110"/>
        <v/>
      </c>
      <c r="V93" s="49" t="str">
        <f t="shared" si="110"/>
        <v/>
      </c>
      <c r="W93" s="49" t="str">
        <f t="shared" si="110"/>
        <v/>
      </c>
      <c r="X93" s="49" t="str">
        <f t="shared" si="110"/>
        <v/>
      </c>
      <c r="Y93" s="49" t="str">
        <f t="shared" si="110"/>
        <v/>
      </c>
      <c r="Z93" s="49" t="str">
        <f t="shared" si="110"/>
        <v/>
      </c>
      <c r="AA93" s="49" t="str">
        <f t="shared" si="110"/>
        <v/>
      </c>
      <c r="AB93" s="49" t="str">
        <f t="shared" si="110"/>
        <v/>
      </c>
      <c r="AC93" s="49" t="str">
        <f t="shared" si="110"/>
        <v/>
      </c>
      <c r="AD93" s="49" t="str">
        <f t="shared" si="110"/>
        <v/>
      </c>
      <c r="AE93" s="49" t="str">
        <f t="shared" si="110"/>
        <v/>
      </c>
      <c r="AF93" s="49" t="str">
        <f t="shared" si="110"/>
        <v/>
      </c>
      <c r="AG93" s="49" t="str">
        <f t="shared" si="110"/>
        <v/>
      </c>
      <c r="AH93" s="49" t="str">
        <f t="shared" si="110"/>
        <v/>
      </c>
      <c r="AI93" s="49" t="str">
        <f t="shared" si="110"/>
        <v/>
      </c>
      <c r="AJ93" s="49" t="str">
        <f t="shared" si="110"/>
        <v/>
      </c>
      <c r="AK93" s="49" t="str">
        <f t="shared" si="110"/>
        <v/>
      </c>
      <c r="AL93" s="49" t="str">
        <f t="shared" si="110"/>
        <v/>
      </c>
      <c r="AM93" s="49" t="str">
        <f t="shared" si="110"/>
        <v/>
      </c>
      <c r="AN93" s="49" t="str">
        <f t="shared" si="110"/>
        <v/>
      </c>
      <c r="AO93" s="49" t="str">
        <f t="shared" si="110"/>
        <v/>
      </c>
      <c r="AP93" s="49" t="str">
        <f t="shared" si="110"/>
        <v/>
      </c>
      <c r="AQ93" s="49" t="str">
        <f t="shared" si="110"/>
        <v/>
      </c>
      <c r="AR93" s="49" t="str">
        <f t="shared" si="110"/>
        <v/>
      </c>
      <c r="AS93" s="49" t="str">
        <f t="shared" si="110"/>
        <v/>
      </c>
      <c r="AT93" s="49" t="str">
        <f t="shared" si="110"/>
        <v/>
      </c>
      <c r="AU93" s="49" t="str">
        <f t="shared" si="110"/>
        <v/>
      </c>
      <c r="AV93" s="49" t="str">
        <f t="shared" si="110"/>
        <v/>
      </c>
      <c r="AW93" s="49" t="str">
        <f t="shared" si="110"/>
        <v/>
      </c>
      <c r="AX93" s="49" t="str">
        <f t="shared" si="110"/>
        <v/>
      </c>
      <c r="AY93" s="49" t="str">
        <f t="shared" si="110"/>
        <v/>
      </c>
      <c r="AZ93" s="49" t="str">
        <f t="shared" si="110"/>
        <v/>
      </c>
      <c r="BA93" s="49" t="str">
        <f t="shared" si="110"/>
        <v/>
      </c>
      <c r="BB93" s="49" t="str">
        <f t="shared" si="110"/>
        <v/>
      </c>
      <c r="BC93" s="49" t="str">
        <f t="shared" si="110"/>
        <v/>
      </c>
      <c r="BD93" s="49" t="str">
        <f t="shared" si="110"/>
        <v/>
      </c>
      <c r="BE93" s="49" t="str">
        <f t="shared" si="110"/>
        <v/>
      </c>
      <c r="BF93" s="49" t="str">
        <f t="shared" si="110"/>
        <v/>
      </c>
      <c r="BG93" s="49" t="str">
        <f t="shared" si="110"/>
        <v/>
      </c>
      <c r="BH93" s="49" t="str">
        <f t="shared" si="110"/>
        <v/>
      </c>
      <c r="BI93" s="49" t="str">
        <f t="shared" si="110"/>
        <v/>
      </c>
      <c r="BJ93" s="49" t="str">
        <f t="shared" si="110"/>
        <v/>
      </c>
      <c r="BK93" s="49" t="str">
        <f t="shared" si="110"/>
        <v/>
      </c>
      <c r="BL93" s="49" t="str">
        <f t="shared" si="110"/>
        <v/>
      </c>
      <c r="BM93" s="49" t="str">
        <f t="shared" si="110"/>
        <v/>
      </c>
      <c r="BN93" s="49" t="str">
        <f t="shared" si="110"/>
        <v/>
      </c>
      <c r="BO93" s="49" t="str">
        <f t="shared" si="110"/>
        <v/>
      </c>
      <c r="BP93" s="49" t="str">
        <f t="shared" si="110"/>
        <v/>
      </c>
      <c r="BQ93" s="49" t="str">
        <f t="shared" si="110"/>
        <v/>
      </c>
      <c r="BR93" s="49" t="str">
        <f t="shared" si="110"/>
        <v/>
      </c>
      <c r="BS93" s="49" t="str">
        <f t="shared" si="110"/>
        <v/>
      </c>
      <c r="BT93" s="49" t="str">
        <f t="shared" si="110"/>
        <v/>
      </c>
      <c r="BU93" s="49" t="str">
        <f t="shared" si="110"/>
        <v/>
      </c>
      <c r="BV93" s="49" t="str">
        <f t="shared" si="110"/>
        <v/>
      </c>
      <c r="BW93" s="49" t="str">
        <f t="shared" si="110"/>
        <v/>
      </c>
      <c r="BX93" s="49" t="str">
        <f t="shared" si="110"/>
        <v/>
      </c>
      <c r="BY93" s="49" t="str">
        <f t="shared" si="110"/>
        <v/>
      </c>
      <c r="BZ93" s="49" t="str">
        <f t="shared" si="110"/>
        <v/>
      </c>
      <c r="CA93" s="49" t="str">
        <f t="shared" si="110"/>
        <v/>
      </c>
      <c r="CB93" s="49" t="str">
        <f t="shared" si="110"/>
        <v/>
      </c>
      <c r="CC93" s="49" t="str">
        <f t="shared" si="110"/>
        <v/>
      </c>
      <c r="CD93" s="49" t="str">
        <f t="shared" si="110"/>
        <v/>
      </c>
      <c r="CE93" s="49" t="str">
        <f t="shared" si="110"/>
        <v/>
      </c>
      <c r="CF93" s="49" t="str">
        <f t="shared" si="110"/>
        <v/>
      </c>
      <c r="CG93" s="49" t="str">
        <f t="shared" si="110"/>
        <v/>
      </c>
      <c r="CH93" s="49" t="str">
        <f t="shared" si="110"/>
        <v/>
      </c>
      <c r="CI93" s="49" t="str">
        <f t="shared" si="110"/>
        <v/>
      </c>
      <c r="CJ93" s="49" t="str">
        <f t="shared" si="110"/>
        <v/>
      </c>
      <c r="CK93" s="49" t="str">
        <f t="shared" si="110"/>
        <v/>
      </c>
      <c r="CL93" s="49" t="str">
        <f t="shared" si="110"/>
        <v/>
      </c>
      <c r="CM93" s="49" t="str">
        <f t="shared" si="110"/>
        <v/>
      </c>
      <c r="CN93" s="49" t="str">
        <f t="shared" si="110"/>
        <v/>
      </c>
      <c r="CO93" s="49" t="str">
        <f t="shared" si="110"/>
        <v/>
      </c>
      <c r="CP93" s="49" t="str">
        <f t="shared" si="110"/>
        <v/>
      </c>
      <c r="CQ93" s="49" t="str">
        <f t="shared" si="110"/>
        <v/>
      </c>
      <c r="CR93" s="49" t="str">
        <f t="shared" si="110"/>
        <v/>
      </c>
      <c r="CS93" s="49" t="str">
        <f t="shared" si="110"/>
        <v/>
      </c>
      <c r="CT93" s="49" t="str">
        <f t="shared" si="110"/>
        <v/>
      </c>
      <c r="CU93" s="49" t="str">
        <f t="shared" si="110"/>
        <v/>
      </c>
      <c r="CV93" s="49" t="str">
        <f t="shared" si="110"/>
        <v/>
      </c>
      <c r="CW93" s="49" t="str">
        <f t="shared" si="110"/>
        <v/>
      </c>
      <c r="CX93" s="49" t="str">
        <f t="shared" si="110"/>
        <v/>
      </c>
      <c r="CY93" s="49" t="str">
        <f t="shared" si="110"/>
        <v/>
      </c>
      <c r="CZ93" s="49" t="str">
        <f t="shared" si="110"/>
        <v/>
      </c>
      <c r="DA93" s="49" t="str">
        <f t="shared" si="110"/>
        <v/>
      </c>
      <c r="DB93" s="49" t="str">
        <f t="shared" si="110"/>
        <v/>
      </c>
      <c r="DC93" s="49" t="str">
        <f t="shared" si="110"/>
        <v/>
      </c>
      <c r="DD93" s="49" t="str">
        <f t="shared" si="110"/>
        <v/>
      </c>
      <c r="DE93" s="49" t="str">
        <f t="shared" si="110"/>
        <v/>
      </c>
      <c r="DF93" s="49" t="str">
        <f t="shared" si="110"/>
        <v/>
      </c>
      <c r="DG93" s="49" t="str">
        <f t="shared" si="110"/>
        <v/>
      </c>
      <c r="DH93" s="49" t="str">
        <f t="shared" si="110"/>
        <v/>
      </c>
      <c r="DI93" s="49" t="str">
        <f t="shared" si="110"/>
        <v/>
      </c>
      <c r="DJ93" s="49" t="str">
        <f t="shared" si="110"/>
        <v/>
      </c>
    </row>
    <row r="94" spans="1:114" ht="15.75" customHeight="1" x14ac:dyDescent="0.55000000000000004">
      <c r="A94" s="41" t="e">
        <f>MASANIELLO!#REF!</f>
        <v>#REF!</v>
      </c>
      <c r="B94" s="41" t="e">
        <f t="shared" si="2"/>
        <v>#VALUE!</v>
      </c>
      <c r="C94" s="42" t="e">
        <f t="shared" si="3"/>
        <v>#VALUE!</v>
      </c>
      <c r="D94" s="42" t="e">
        <f t="shared" si="4"/>
        <v>#VALUE!</v>
      </c>
      <c r="E94" s="42" t="e">
        <f t="shared" si="5"/>
        <v>#VALUE!</v>
      </c>
      <c r="F94" s="42" t="e">
        <f t="shared" si="6"/>
        <v>#VALUE!</v>
      </c>
      <c r="G94" s="50" t="e">
        <f t="shared" si="7"/>
        <v>#VALUE!</v>
      </c>
      <c r="H94" s="41" t="e">
        <f t="shared" si="8"/>
        <v>#VALUE!</v>
      </c>
      <c r="I94" s="41" t="e">
        <f t="shared" si="9"/>
        <v>#VALUE!</v>
      </c>
      <c r="J94" s="45" t="e">
        <f t="shared" si="10"/>
        <v>#VALUE!</v>
      </c>
      <c r="M94" s="48" t="b">
        <f t="shared" si="11"/>
        <v>0</v>
      </c>
      <c r="N94" s="49" t="e">
        <f t="shared" ref="N94:DJ94" si="111">IF(N$1&gt;$L$2,   "",   IF(N$1=$L$2,  1,  IF($L$2-N$1=$L$1-$M94, $L$3^($L$1-$M94), ($L$3*N95*O95/(N95+($L$3-1)*O95) ))))</f>
        <v>#DIV/0!</v>
      </c>
      <c r="O94" s="49" t="e">
        <f t="shared" si="111"/>
        <v>#DIV/0!</v>
      </c>
      <c r="P94" s="49" t="e">
        <f t="shared" si="111"/>
        <v>#DIV/0!</v>
      </c>
      <c r="Q94" s="49" t="e">
        <f t="shared" si="111"/>
        <v>#DIV/0!</v>
      </c>
      <c r="R94" s="49">
        <f t="shared" si="111"/>
        <v>1</v>
      </c>
      <c r="S94" s="49" t="str">
        <f t="shared" si="111"/>
        <v/>
      </c>
      <c r="T94" s="49" t="str">
        <f t="shared" si="111"/>
        <v/>
      </c>
      <c r="U94" s="49" t="str">
        <f t="shared" si="111"/>
        <v/>
      </c>
      <c r="V94" s="49" t="str">
        <f t="shared" si="111"/>
        <v/>
      </c>
      <c r="W94" s="49" t="str">
        <f t="shared" si="111"/>
        <v/>
      </c>
      <c r="X94" s="49" t="str">
        <f t="shared" si="111"/>
        <v/>
      </c>
      <c r="Y94" s="49" t="str">
        <f t="shared" si="111"/>
        <v/>
      </c>
      <c r="Z94" s="49" t="str">
        <f t="shared" si="111"/>
        <v/>
      </c>
      <c r="AA94" s="49" t="str">
        <f t="shared" si="111"/>
        <v/>
      </c>
      <c r="AB94" s="49" t="str">
        <f t="shared" si="111"/>
        <v/>
      </c>
      <c r="AC94" s="49" t="str">
        <f t="shared" si="111"/>
        <v/>
      </c>
      <c r="AD94" s="49" t="str">
        <f t="shared" si="111"/>
        <v/>
      </c>
      <c r="AE94" s="49" t="str">
        <f t="shared" si="111"/>
        <v/>
      </c>
      <c r="AF94" s="49" t="str">
        <f t="shared" si="111"/>
        <v/>
      </c>
      <c r="AG94" s="49" t="str">
        <f t="shared" si="111"/>
        <v/>
      </c>
      <c r="AH94" s="49" t="str">
        <f t="shared" si="111"/>
        <v/>
      </c>
      <c r="AI94" s="49" t="str">
        <f t="shared" si="111"/>
        <v/>
      </c>
      <c r="AJ94" s="49" t="str">
        <f t="shared" si="111"/>
        <v/>
      </c>
      <c r="AK94" s="49" t="str">
        <f t="shared" si="111"/>
        <v/>
      </c>
      <c r="AL94" s="49" t="str">
        <f t="shared" si="111"/>
        <v/>
      </c>
      <c r="AM94" s="49" t="str">
        <f t="shared" si="111"/>
        <v/>
      </c>
      <c r="AN94" s="49" t="str">
        <f t="shared" si="111"/>
        <v/>
      </c>
      <c r="AO94" s="49" t="str">
        <f t="shared" si="111"/>
        <v/>
      </c>
      <c r="AP94" s="49" t="str">
        <f t="shared" si="111"/>
        <v/>
      </c>
      <c r="AQ94" s="49" t="str">
        <f t="shared" si="111"/>
        <v/>
      </c>
      <c r="AR94" s="49" t="str">
        <f t="shared" si="111"/>
        <v/>
      </c>
      <c r="AS94" s="49" t="str">
        <f t="shared" si="111"/>
        <v/>
      </c>
      <c r="AT94" s="49" t="str">
        <f t="shared" si="111"/>
        <v/>
      </c>
      <c r="AU94" s="49" t="str">
        <f t="shared" si="111"/>
        <v/>
      </c>
      <c r="AV94" s="49" t="str">
        <f t="shared" si="111"/>
        <v/>
      </c>
      <c r="AW94" s="49" t="str">
        <f t="shared" si="111"/>
        <v/>
      </c>
      <c r="AX94" s="49" t="str">
        <f t="shared" si="111"/>
        <v/>
      </c>
      <c r="AY94" s="49" t="str">
        <f t="shared" si="111"/>
        <v/>
      </c>
      <c r="AZ94" s="49" t="str">
        <f t="shared" si="111"/>
        <v/>
      </c>
      <c r="BA94" s="49" t="str">
        <f t="shared" si="111"/>
        <v/>
      </c>
      <c r="BB94" s="49" t="str">
        <f t="shared" si="111"/>
        <v/>
      </c>
      <c r="BC94" s="49" t="str">
        <f t="shared" si="111"/>
        <v/>
      </c>
      <c r="BD94" s="49" t="str">
        <f t="shared" si="111"/>
        <v/>
      </c>
      <c r="BE94" s="49" t="str">
        <f t="shared" si="111"/>
        <v/>
      </c>
      <c r="BF94" s="49" t="str">
        <f t="shared" si="111"/>
        <v/>
      </c>
      <c r="BG94" s="49" t="str">
        <f t="shared" si="111"/>
        <v/>
      </c>
      <c r="BH94" s="49" t="str">
        <f t="shared" si="111"/>
        <v/>
      </c>
      <c r="BI94" s="49" t="str">
        <f t="shared" si="111"/>
        <v/>
      </c>
      <c r="BJ94" s="49" t="str">
        <f t="shared" si="111"/>
        <v/>
      </c>
      <c r="BK94" s="49" t="str">
        <f t="shared" si="111"/>
        <v/>
      </c>
      <c r="BL94" s="49" t="str">
        <f t="shared" si="111"/>
        <v/>
      </c>
      <c r="BM94" s="49" t="str">
        <f t="shared" si="111"/>
        <v/>
      </c>
      <c r="BN94" s="49" t="str">
        <f t="shared" si="111"/>
        <v/>
      </c>
      <c r="BO94" s="49" t="str">
        <f t="shared" si="111"/>
        <v/>
      </c>
      <c r="BP94" s="49" t="str">
        <f t="shared" si="111"/>
        <v/>
      </c>
      <c r="BQ94" s="49" t="str">
        <f t="shared" si="111"/>
        <v/>
      </c>
      <c r="BR94" s="49" t="str">
        <f t="shared" si="111"/>
        <v/>
      </c>
      <c r="BS94" s="49" t="str">
        <f t="shared" si="111"/>
        <v/>
      </c>
      <c r="BT94" s="49" t="str">
        <f t="shared" si="111"/>
        <v/>
      </c>
      <c r="BU94" s="49" t="str">
        <f t="shared" si="111"/>
        <v/>
      </c>
      <c r="BV94" s="49" t="str">
        <f t="shared" si="111"/>
        <v/>
      </c>
      <c r="BW94" s="49" t="str">
        <f t="shared" si="111"/>
        <v/>
      </c>
      <c r="BX94" s="49" t="str">
        <f t="shared" si="111"/>
        <v/>
      </c>
      <c r="BY94" s="49" t="str">
        <f t="shared" si="111"/>
        <v/>
      </c>
      <c r="BZ94" s="49" t="str">
        <f t="shared" si="111"/>
        <v/>
      </c>
      <c r="CA94" s="49" t="str">
        <f t="shared" si="111"/>
        <v/>
      </c>
      <c r="CB94" s="49" t="str">
        <f t="shared" si="111"/>
        <v/>
      </c>
      <c r="CC94" s="49" t="str">
        <f t="shared" si="111"/>
        <v/>
      </c>
      <c r="CD94" s="49" t="str">
        <f t="shared" si="111"/>
        <v/>
      </c>
      <c r="CE94" s="49" t="str">
        <f t="shared" si="111"/>
        <v/>
      </c>
      <c r="CF94" s="49" t="str">
        <f t="shared" si="111"/>
        <v/>
      </c>
      <c r="CG94" s="49" t="str">
        <f t="shared" si="111"/>
        <v/>
      </c>
      <c r="CH94" s="49" t="str">
        <f t="shared" si="111"/>
        <v/>
      </c>
      <c r="CI94" s="49" t="str">
        <f t="shared" si="111"/>
        <v/>
      </c>
      <c r="CJ94" s="49" t="str">
        <f t="shared" si="111"/>
        <v/>
      </c>
      <c r="CK94" s="49" t="str">
        <f t="shared" si="111"/>
        <v/>
      </c>
      <c r="CL94" s="49" t="str">
        <f t="shared" si="111"/>
        <v/>
      </c>
      <c r="CM94" s="49" t="str">
        <f t="shared" si="111"/>
        <v/>
      </c>
      <c r="CN94" s="49" t="str">
        <f t="shared" si="111"/>
        <v/>
      </c>
      <c r="CO94" s="49" t="str">
        <f t="shared" si="111"/>
        <v/>
      </c>
      <c r="CP94" s="49" t="str">
        <f t="shared" si="111"/>
        <v/>
      </c>
      <c r="CQ94" s="49" t="str">
        <f t="shared" si="111"/>
        <v/>
      </c>
      <c r="CR94" s="49" t="str">
        <f t="shared" si="111"/>
        <v/>
      </c>
      <c r="CS94" s="49" t="str">
        <f t="shared" si="111"/>
        <v/>
      </c>
      <c r="CT94" s="49" t="str">
        <f t="shared" si="111"/>
        <v/>
      </c>
      <c r="CU94" s="49" t="str">
        <f t="shared" si="111"/>
        <v/>
      </c>
      <c r="CV94" s="49" t="str">
        <f t="shared" si="111"/>
        <v/>
      </c>
      <c r="CW94" s="49" t="str">
        <f t="shared" si="111"/>
        <v/>
      </c>
      <c r="CX94" s="49" t="str">
        <f t="shared" si="111"/>
        <v/>
      </c>
      <c r="CY94" s="49" t="str">
        <f t="shared" si="111"/>
        <v/>
      </c>
      <c r="CZ94" s="49" t="str">
        <f t="shared" si="111"/>
        <v/>
      </c>
      <c r="DA94" s="49" t="str">
        <f t="shared" si="111"/>
        <v/>
      </c>
      <c r="DB94" s="49" t="str">
        <f t="shared" si="111"/>
        <v/>
      </c>
      <c r="DC94" s="49" t="str">
        <f t="shared" si="111"/>
        <v/>
      </c>
      <c r="DD94" s="49" t="str">
        <f t="shared" si="111"/>
        <v/>
      </c>
      <c r="DE94" s="49" t="str">
        <f t="shared" si="111"/>
        <v/>
      </c>
      <c r="DF94" s="49" t="str">
        <f t="shared" si="111"/>
        <v/>
      </c>
      <c r="DG94" s="49" t="str">
        <f t="shared" si="111"/>
        <v/>
      </c>
      <c r="DH94" s="49" t="str">
        <f t="shared" si="111"/>
        <v/>
      </c>
      <c r="DI94" s="49" t="str">
        <f t="shared" si="111"/>
        <v/>
      </c>
      <c r="DJ94" s="49" t="str">
        <f t="shared" si="111"/>
        <v/>
      </c>
    </row>
    <row r="95" spans="1:114" ht="15.75" customHeight="1" x14ac:dyDescent="0.55000000000000004">
      <c r="A95" s="41" t="e">
        <f>MASANIELLO!#REF!</f>
        <v>#REF!</v>
      </c>
      <c r="B95" s="41" t="e">
        <f t="shared" si="2"/>
        <v>#VALUE!</v>
      </c>
      <c r="C95" s="42" t="e">
        <f t="shared" si="3"/>
        <v>#VALUE!</v>
      </c>
      <c r="D95" s="42" t="e">
        <f t="shared" si="4"/>
        <v>#VALUE!</v>
      </c>
      <c r="E95" s="42" t="e">
        <f t="shared" si="5"/>
        <v>#VALUE!</v>
      </c>
      <c r="F95" s="42" t="e">
        <f t="shared" si="6"/>
        <v>#VALUE!</v>
      </c>
      <c r="G95" s="50" t="e">
        <f t="shared" si="7"/>
        <v>#VALUE!</v>
      </c>
      <c r="H95" s="41" t="e">
        <f t="shared" si="8"/>
        <v>#VALUE!</v>
      </c>
      <c r="I95" s="41" t="e">
        <f t="shared" si="9"/>
        <v>#VALUE!</v>
      </c>
      <c r="J95" s="45" t="e">
        <f t="shared" si="10"/>
        <v>#VALUE!</v>
      </c>
      <c r="M95" s="48" t="b">
        <f t="shared" si="11"/>
        <v>0</v>
      </c>
      <c r="N95" s="49" t="e">
        <f t="shared" ref="N95:DJ95" si="112">IF(N$1&gt;$L$2,   "",   IF(N$1=$L$2,  1,  IF($L$2-N$1=$L$1-$M95, $L$3^($L$1-$M95), ($L$3*N96*O96/(N96+($L$3-1)*O96) ))))</f>
        <v>#DIV/0!</v>
      </c>
      <c r="O95" s="49" t="e">
        <f t="shared" si="112"/>
        <v>#DIV/0!</v>
      </c>
      <c r="P95" s="49" t="e">
        <f t="shared" si="112"/>
        <v>#DIV/0!</v>
      </c>
      <c r="Q95" s="49" t="e">
        <f t="shared" si="112"/>
        <v>#DIV/0!</v>
      </c>
      <c r="R95" s="49">
        <f t="shared" si="112"/>
        <v>1</v>
      </c>
      <c r="S95" s="49" t="str">
        <f t="shared" si="112"/>
        <v/>
      </c>
      <c r="T95" s="49" t="str">
        <f t="shared" si="112"/>
        <v/>
      </c>
      <c r="U95" s="49" t="str">
        <f t="shared" si="112"/>
        <v/>
      </c>
      <c r="V95" s="49" t="str">
        <f t="shared" si="112"/>
        <v/>
      </c>
      <c r="W95" s="49" t="str">
        <f t="shared" si="112"/>
        <v/>
      </c>
      <c r="X95" s="49" t="str">
        <f t="shared" si="112"/>
        <v/>
      </c>
      <c r="Y95" s="49" t="str">
        <f t="shared" si="112"/>
        <v/>
      </c>
      <c r="Z95" s="49" t="str">
        <f t="shared" si="112"/>
        <v/>
      </c>
      <c r="AA95" s="49" t="str">
        <f t="shared" si="112"/>
        <v/>
      </c>
      <c r="AB95" s="49" t="str">
        <f t="shared" si="112"/>
        <v/>
      </c>
      <c r="AC95" s="49" t="str">
        <f t="shared" si="112"/>
        <v/>
      </c>
      <c r="AD95" s="49" t="str">
        <f t="shared" si="112"/>
        <v/>
      </c>
      <c r="AE95" s="49" t="str">
        <f t="shared" si="112"/>
        <v/>
      </c>
      <c r="AF95" s="49" t="str">
        <f t="shared" si="112"/>
        <v/>
      </c>
      <c r="AG95" s="49" t="str">
        <f t="shared" si="112"/>
        <v/>
      </c>
      <c r="AH95" s="49" t="str">
        <f t="shared" si="112"/>
        <v/>
      </c>
      <c r="AI95" s="49" t="str">
        <f t="shared" si="112"/>
        <v/>
      </c>
      <c r="AJ95" s="49" t="str">
        <f t="shared" si="112"/>
        <v/>
      </c>
      <c r="AK95" s="49" t="str">
        <f t="shared" si="112"/>
        <v/>
      </c>
      <c r="AL95" s="49" t="str">
        <f t="shared" si="112"/>
        <v/>
      </c>
      <c r="AM95" s="49" t="str">
        <f t="shared" si="112"/>
        <v/>
      </c>
      <c r="AN95" s="49" t="str">
        <f t="shared" si="112"/>
        <v/>
      </c>
      <c r="AO95" s="49" t="str">
        <f t="shared" si="112"/>
        <v/>
      </c>
      <c r="AP95" s="49" t="str">
        <f t="shared" si="112"/>
        <v/>
      </c>
      <c r="AQ95" s="49" t="str">
        <f t="shared" si="112"/>
        <v/>
      </c>
      <c r="AR95" s="49" t="str">
        <f t="shared" si="112"/>
        <v/>
      </c>
      <c r="AS95" s="49" t="str">
        <f t="shared" si="112"/>
        <v/>
      </c>
      <c r="AT95" s="49" t="str">
        <f t="shared" si="112"/>
        <v/>
      </c>
      <c r="AU95" s="49" t="str">
        <f t="shared" si="112"/>
        <v/>
      </c>
      <c r="AV95" s="49" t="str">
        <f t="shared" si="112"/>
        <v/>
      </c>
      <c r="AW95" s="49" t="str">
        <f t="shared" si="112"/>
        <v/>
      </c>
      <c r="AX95" s="49" t="str">
        <f t="shared" si="112"/>
        <v/>
      </c>
      <c r="AY95" s="49" t="str">
        <f t="shared" si="112"/>
        <v/>
      </c>
      <c r="AZ95" s="49" t="str">
        <f t="shared" si="112"/>
        <v/>
      </c>
      <c r="BA95" s="49" t="str">
        <f t="shared" si="112"/>
        <v/>
      </c>
      <c r="BB95" s="49" t="str">
        <f t="shared" si="112"/>
        <v/>
      </c>
      <c r="BC95" s="49" t="str">
        <f t="shared" si="112"/>
        <v/>
      </c>
      <c r="BD95" s="49" t="str">
        <f t="shared" si="112"/>
        <v/>
      </c>
      <c r="BE95" s="49" t="str">
        <f t="shared" si="112"/>
        <v/>
      </c>
      <c r="BF95" s="49" t="str">
        <f t="shared" si="112"/>
        <v/>
      </c>
      <c r="BG95" s="49" t="str">
        <f t="shared" si="112"/>
        <v/>
      </c>
      <c r="BH95" s="49" t="str">
        <f t="shared" si="112"/>
        <v/>
      </c>
      <c r="BI95" s="49" t="str">
        <f t="shared" si="112"/>
        <v/>
      </c>
      <c r="BJ95" s="49" t="str">
        <f t="shared" si="112"/>
        <v/>
      </c>
      <c r="BK95" s="49" t="str">
        <f t="shared" si="112"/>
        <v/>
      </c>
      <c r="BL95" s="49" t="str">
        <f t="shared" si="112"/>
        <v/>
      </c>
      <c r="BM95" s="49" t="str">
        <f t="shared" si="112"/>
        <v/>
      </c>
      <c r="BN95" s="49" t="str">
        <f t="shared" si="112"/>
        <v/>
      </c>
      <c r="BO95" s="49" t="str">
        <f t="shared" si="112"/>
        <v/>
      </c>
      <c r="BP95" s="49" t="str">
        <f t="shared" si="112"/>
        <v/>
      </c>
      <c r="BQ95" s="49" t="str">
        <f t="shared" si="112"/>
        <v/>
      </c>
      <c r="BR95" s="49" t="str">
        <f t="shared" si="112"/>
        <v/>
      </c>
      <c r="BS95" s="49" t="str">
        <f t="shared" si="112"/>
        <v/>
      </c>
      <c r="BT95" s="49" t="str">
        <f t="shared" si="112"/>
        <v/>
      </c>
      <c r="BU95" s="49" t="str">
        <f t="shared" si="112"/>
        <v/>
      </c>
      <c r="BV95" s="49" t="str">
        <f t="shared" si="112"/>
        <v/>
      </c>
      <c r="BW95" s="49" t="str">
        <f t="shared" si="112"/>
        <v/>
      </c>
      <c r="BX95" s="49" t="str">
        <f t="shared" si="112"/>
        <v/>
      </c>
      <c r="BY95" s="49" t="str">
        <f t="shared" si="112"/>
        <v/>
      </c>
      <c r="BZ95" s="49" t="str">
        <f t="shared" si="112"/>
        <v/>
      </c>
      <c r="CA95" s="49" t="str">
        <f t="shared" si="112"/>
        <v/>
      </c>
      <c r="CB95" s="49" t="str">
        <f t="shared" si="112"/>
        <v/>
      </c>
      <c r="CC95" s="49" t="str">
        <f t="shared" si="112"/>
        <v/>
      </c>
      <c r="CD95" s="49" t="str">
        <f t="shared" si="112"/>
        <v/>
      </c>
      <c r="CE95" s="49" t="str">
        <f t="shared" si="112"/>
        <v/>
      </c>
      <c r="CF95" s="49" t="str">
        <f t="shared" si="112"/>
        <v/>
      </c>
      <c r="CG95" s="49" t="str">
        <f t="shared" si="112"/>
        <v/>
      </c>
      <c r="CH95" s="49" t="str">
        <f t="shared" si="112"/>
        <v/>
      </c>
      <c r="CI95" s="49" t="str">
        <f t="shared" si="112"/>
        <v/>
      </c>
      <c r="CJ95" s="49" t="str">
        <f t="shared" si="112"/>
        <v/>
      </c>
      <c r="CK95" s="49" t="str">
        <f t="shared" si="112"/>
        <v/>
      </c>
      <c r="CL95" s="49" t="str">
        <f t="shared" si="112"/>
        <v/>
      </c>
      <c r="CM95" s="49" t="str">
        <f t="shared" si="112"/>
        <v/>
      </c>
      <c r="CN95" s="49" t="str">
        <f t="shared" si="112"/>
        <v/>
      </c>
      <c r="CO95" s="49" t="str">
        <f t="shared" si="112"/>
        <v/>
      </c>
      <c r="CP95" s="49" t="str">
        <f t="shared" si="112"/>
        <v/>
      </c>
      <c r="CQ95" s="49" t="str">
        <f t="shared" si="112"/>
        <v/>
      </c>
      <c r="CR95" s="49" t="str">
        <f t="shared" si="112"/>
        <v/>
      </c>
      <c r="CS95" s="49" t="str">
        <f t="shared" si="112"/>
        <v/>
      </c>
      <c r="CT95" s="49" t="str">
        <f t="shared" si="112"/>
        <v/>
      </c>
      <c r="CU95" s="49" t="str">
        <f t="shared" si="112"/>
        <v/>
      </c>
      <c r="CV95" s="49" t="str">
        <f t="shared" si="112"/>
        <v/>
      </c>
      <c r="CW95" s="49" t="str">
        <f t="shared" si="112"/>
        <v/>
      </c>
      <c r="CX95" s="49" t="str">
        <f t="shared" si="112"/>
        <v/>
      </c>
      <c r="CY95" s="49" t="str">
        <f t="shared" si="112"/>
        <v/>
      </c>
      <c r="CZ95" s="49" t="str">
        <f t="shared" si="112"/>
        <v/>
      </c>
      <c r="DA95" s="49" t="str">
        <f t="shared" si="112"/>
        <v/>
      </c>
      <c r="DB95" s="49" t="str">
        <f t="shared" si="112"/>
        <v/>
      </c>
      <c r="DC95" s="49" t="str">
        <f t="shared" si="112"/>
        <v/>
      </c>
      <c r="DD95" s="49" t="str">
        <f t="shared" si="112"/>
        <v/>
      </c>
      <c r="DE95" s="49" t="str">
        <f t="shared" si="112"/>
        <v/>
      </c>
      <c r="DF95" s="49" t="str">
        <f t="shared" si="112"/>
        <v/>
      </c>
      <c r="DG95" s="49" t="str">
        <f t="shared" si="112"/>
        <v/>
      </c>
      <c r="DH95" s="49" t="str">
        <f t="shared" si="112"/>
        <v/>
      </c>
      <c r="DI95" s="49" t="str">
        <f t="shared" si="112"/>
        <v/>
      </c>
      <c r="DJ95" s="49" t="str">
        <f t="shared" si="112"/>
        <v/>
      </c>
    </row>
    <row r="96" spans="1:114" ht="15.75" customHeight="1" x14ac:dyDescent="0.55000000000000004">
      <c r="A96" s="41" t="e">
        <f>MASANIELLO!#REF!</f>
        <v>#REF!</v>
      </c>
      <c r="B96" s="41" t="e">
        <f t="shared" si="2"/>
        <v>#VALUE!</v>
      </c>
      <c r="C96" s="42" t="e">
        <f t="shared" si="3"/>
        <v>#VALUE!</v>
      </c>
      <c r="D96" s="42" t="e">
        <f t="shared" si="4"/>
        <v>#VALUE!</v>
      </c>
      <c r="E96" s="42" t="e">
        <f t="shared" si="5"/>
        <v>#VALUE!</v>
      </c>
      <c r="F96" s="42" t="e">
        <f t="shared" si="6"/>
        <v>#VALUE!</v>
      </c>
      <c r="G96" s="50" t="e">
        <f t="shared" si="7"/>
        <v>#VALUE!</v>
      </c>
      <c r="H96" s="41" t="e">
        <f t="shared" si="8"/>
        <v>#VALUE!</v>
      </c>
      <c r="I96" s="41" t="e">
        <f t="shared" si="9"/>
        <v>#VALUE!</v>
      </c>
      <c r="J96" s="45" t="e">
        <f t="shared" si="10"/>
        <v>#VALUE!</v>
      </c>
      <c r="M96" s="48" t="b">
        <f t="shared" si="11"/>
        <v>0</v>
      </c>
      <c r="N96" s="49" t="e">
        <f t="shared" ref="N96:DJ96" si="113">IF(N$1&gt;$L$2,   "",   IF(N$1=$L$2,  1,  IF($L$2-N$1=$L$1-$M96, $L$3^($L$1-$M96), ($L$3*N97*O97/(N97+($L$3-1)*O97) ))))</f>
        <v>#DIV/0!</v>
      </c>
      <c r="O96" s="49" t="e">
        <f t="shared" si="113"/>
        <v>#DIV/0!</v>
      </c>
      <c r="P96" s="49" t="e">
        <f t="shared" si="113"/>
        <v>#DIV/0!</v>
      </c>
      <c r="Q96" s="49" t="e">
        <f t="shared" si="113"/>
        <v>#DIV/0!</v>
      </c>
      <c r="R96" s="49">
        <f t="shared" si="113"/>
        <v>1</v>
      </c>
      <c r="S96" s="49" t="str">
        <f t="shared" si="113"/>
        <v/>
      </c>
      <c r="T96" s="49" t="str">
        <f t="shared" si="113"/>
        <v/>
      </c>
      <c r="U96" s="49" t="str">
        <f t="shared" si="113"/>
        <v/>
      </c>
      <c r="V96" s="49" t="str">
        <f t="shared" si="113"/>
        <v/>
      </c>
      <c r="W96" s="49" t="str">
        <f t="shared" si="113"/>
        <v/>
      </c>
      <c r="X96" s="49" t="str">
        <f t="shared" si="113"/>
        <v/>
      </c>
      <c r="Y96" s="49" t="str">
        <f t="shared" si="113"/>
        <v/>
      </c>
      <c r="Z96" s="49" t="str">
        <f t="shared" si="113"/>
        <v/>
      </c>
      <c r="AA96" s="49" t="str">
        <f t="shared" si="113"/>
        <v/>
      </c>
      <c r="AB96" s="49" t="str">
        <f t="shared" si="113"/>
        <v/>
      </c>
      <c r="AC96" s="49" t="str">
        <f t="shared" si="113"/>
        <v/>
      </c>
      <c r="AD96" s="49" t="str">
        <f t="shared" si="113"/>
        <v/>
      </c>
      <c r="AE96" s="49" t="str">
        <f t="shared" si="113"/>
        <v/>
      </c>
      <c r="AF96" s="49" t="str">
        <f t="shared" si="113"/>
        <v/>
      </c>
      <c r="AG96" s="49" t="str">
        <f t="shared" si="113"/>
        <v/>
      </c>
      <c r="AH96" s="49" t="str">
        <f t="shared" si="113"/>
        <v/>
      </c>
      <c r="AI96" s="49" t="str">
        <f t="shared" si="113"/>
        <v/>
      </c>
      <c r="AJ96" s="49" t="str">
        <f t="shared" si="113"/>
        <v/>
      </c>
      <c r="AK96" s="49" t="str">
        <f t="shared" si="113"/>
        <v/>
      </c>
      <c r="AL96" s="49" t="str">
        <f t="shared" si="113"/>
        <v/>
      </c>
      <c r="AM96" s="49" t="str">
        <f t="shared" si="113"/>
        <v/>
      </c>
      <c r="AN96" s="49" t="str">
        <f t="shared" si="113"/>
        <v/>
      </c>
      <c r="AO96" s="49" t="str">
        <f t="shared" si="113"/>
        <v/>
      </c>
      <c r="AP96" s="49" t="str">
        <f t="shared" si="113"/>
        <v/>
      </c>
      <c r="AQ96" s="49" t="str">
        <f t="shared" si="113"/>
        <v/>
      </c>
      <c r="AR96" s="49" t="str">
        <f t="shared" si="113"/>
        <v/>
      </c>
      <c r="AS96" s="49" t="str">
        <f t="shared" si="113"/>
        <v/>
      </c>
      <c r="AT96" s="49" t="str">
        <f t="shared" si="113"/>
        <v/>
      </c>
      <c r="AU96" s="49" t="str">
        <f t="shared" si="113"/>
        <v/>
      </c>
      <c r="AV96" s="49" t="str">
        <f t="shared" si="113"/>
        <v/>
      </c>
      <c r="AW96" s="49" t="str">
        <f t="shared" si="113"/>
        <v/>
      </c>
      <c r="AX96" s="49" t="str">
        <f t="shared" si="113"/>
        <v/>
      </c>
      <c r="AY96" s="49" t="str">
        <f t="shared" si="113"/>
        <v/>
      </c>
      <c r="AZ96" s="49" t="str">
        <f t="shared" si="113"/>
        <v/>
      </c>
      <c r="BA96" s="49" t="str">
        <f t="shared" si="113"/>
        <v/>
      </c>
      <c r="BB96" s="49" t="str">
        <f t="shared" si="113"/>
        <v/>
      </c>
      <c r="BC96" s="49" t="str">
        <f t="shared" si="113"/>
        <v/>
      </c>
      <c r="BD96" s="49" t="str">
        <f t="shared" si="113"/>
        <v/>
      </c>
      <c r="BE96" s="49" t="str">
        <f t="shared" si="113"/>
        <v/>
      </c>
      <c r="BF96" s="49" t="str">
        <f t="shared" si="113"/>
        <v/>
      </c>
      <c r="BG96" s="49" t="str">
        <f t="shared" si="113"/>
        <v/>
      </c>
      <c r="BH96" s="49" t="str">
        <f t="shared" si="113"/>
        <v/>
      </c>
      <c r="BI96" s="49" t="str">
        <f t="shared" si="113"/>
        <v/>
      </c>
      <c r="BJ96" s="49" t="str">
        <f t="shared" si="113"/>
        <v/>
      </c>
      <c r="BK96" s="49" t="str">
        <f t="shared" si="113"/>
        <v/>
      </c>
      <c r="BL96" s="49" t="str">
        <f t="shared" si="113"/>
        <v/>
      </c>
      <c r="BM96" s="49" t="str">
        <f t="shared" si="113"/>
        <v/>
      </c>
      <c r="BN96" s="49" t="str">
        <f t="shared" si="113"/>
        <v/>
      </c>
      <c r="BO96" s="49" t="str">
        <f t="shared" si="113"/>
        <v/>
      </c>
      <c r="BP96" s="49" t="str">
        <f t="shared" si="113"/>
        <v/>
      </c>
      <c r="BQ96" s="49" t="str">
        <f t="shared" si="113"/>
        <v/>
      </c>
      <c r="BR96" s="49" t="str">
        <f t="shared" si="113"/>
        <v/>
      </c>
      <c r="BS96" s="49" t="str">
        <f t="shared" si="113"/>
        <v/>
      </c>
      <c r="BT96" s="49" t="str">
        <f t="shared" si="113"/>
        <v/>
      </c>
      <c r="BU96" s="49" t="str">
        <f t="shared" si="113"/>
        <v/>
      </c>
      <c r="BV96" s="49" t="str">
        <f t="shared" si="113"/>
        <v/>
      </c>
      <c r="BW96" s="49" t="str">
        <f t="shared" si="113"/>
        <v/>
      </c>
      <c r="BX96" s="49" t="str">
        <f t="shared" si="113"/>
        <v/>
      </c>
      <c r="BY96" s="49" t="str">
        <f t="shared" si="113"/>
        <v/>
      </c>
      <c r="BZ96" s="49" t="str">
        <f t="shared" si="113"/>
        <v/>
      </c>
      <c r="CA96" s="49" t="str">
        <f t="shared" si="113"/>
        <v/>
      </c>
      <c r="CB96" s="49" t="str">
        <f t="shared" si="113"/>
        <v/>
      </c>
      <c r="CC96" s="49" t="str">
        <f t="shared" si="113"/>
        <v/>
      </c>
      <c r="CD96" s="49" t="str">
        <f t="shared" si="113"/>
        <v/>
      </c>
      <c r="CE96" s="49" t="str">
        <f t="shared" si="113"/>
        <v/>
      </c>
      <c r="CF96" s="49" t="str">
        <f t="shared" si="113"/>
        <v/>
      </c>
      <c r="CG96" s="49" t="str">
        <f t="shared" si="113"/>
        <v/>
      </c>
      <c r="CH96" s="49" t="str">
        <f t="shared" si="113"/>
        <v/>
      </c>
      <c r="CI96" s="49" t="str">
        <f t="shared" si="113"/>
        <v/>
      </c>
      <c r="CJ96" s="49" t="str">
        <f t="shared" si="113"/>
        <v/>
      </c>
      <c r="CK96" s="49" t="str">
        <f t="shared" si="113"/>
        <v/>
      </c>
      <c r="CL96" s="49" t="str">
        <f t="shared" si="113"/>
        <v/>
      </c>
      <c r="CM96" s="49" t="str">
        <f t="shared" si="113"/>
        <v/>
      </c>
      <c r="CN96" s="49" t="str">
        <f t="shared" si="113"/>
        <v/>
      </c>
      <c r="CO96" s="49" t="str">
        <f t="shared" si="113"/>
        <v/>
      </c>
      <c r="CP96" s="49" t="str">
        <f t="shared" si="113"/>
        <v/>
      </c>
      <c r="CQ96" s="49" t="str">
        <f t="shared" si="113"/>
        <v/>
      </c>
      <c r="CR96" s="49" t="str">
        <f t="shared" si="113"/>
        <v/>
      </c>
      <c r="CS96" s="49" t="str">
        <f t="shared" si="113"/>
        <v/>
      </c>
      <c r="CT96" s="49" t="str">
        <f t="shared" si="113"/>
        <v/>
      </c>
      <c r="CU96" s="49" t="str">
        <f t="shared" si="113"/>
        <v/>
      </c>
      <c r="CV96" s="49" t="str">
        <f t="shared" si="113"/>
        <v/>
      </c>
      <c r="CW96" s="49" t="str">
        <f t="shared" si="113"/>
        <v/>
      </c>
      <c r="CX96" s="49" t="str">
        <f t="shared" si="113"/>
        <v/>
      </c>
      <c r="CY96" s="49" t="str">
        <f t="shared" si="113"/>
        <v/>
      </c>
      <c r="CZ96" s="49" t="str">
        <f t="shared" si="113"/>
        <v/>
      </c>
      <c r="DA96" s="49" t="str">
        <f t="shared" si="113"/>
        <v/>
      </c>
      <c r="DB96" s="49" t="str">
        <f t="shared" si="113"/>
        <v/>
      </c>
      <c r="DC96" s="49" t="str">
        <f t="shared" si="113"/>
        <v/>
      </c>
      <c r="DD96" s="49" t="str">
        <f t="shared" si="113"/>
        <v/>
      </c>
      <c r="DE96" s="49" t="str">
        <f t="shared" si="113"/>
        <v/>
      </c>
      <c r="DF96" s="49" t="str">
        <f t="shared" si="113"/>
        <v/>
      </c>
      <c r="DG96" s="49" t="str">
        <f t="shared" si="113"/>
        <v/>
      </c>
      <c r="DH96" s="49" t="str">
        <f t="shared" si="113"/>
        <v/>
      </c>
      <c r="DI96" s="49" t="str">
        <f t="shared" si="113"/>
        <v/>
      </c>
      <c r="DJ96" s="49" t="str">
        <f t="shared" si="113"/>
        <v/>
      </c>
    </row>
    <row r="97" spans="1:114" ht="15.75" customHeight="1" x14ac:dyDescent="0.55000000000000004">
      <c r="A97" s="41" t="e">
        <f>MASANIELLO!#REF!</f>
        <v>#REF!</v>
      </c>
      <c r="B97" s="41" t="e">
        <f t="shared" si="2"/>
        <v>#VALUE!</v>
      </c>
      <c r="C97" s="42" t="e">
        <f t="shared" si="3"/>
        <v>#VALUE!</v>
      </c>
      <c r="D97" s="42" t="e">
        <f t="shared" si="4"/>
        <v>#VALUE!</v>
      </c>
      <c r="E97" s="42" t="e">
        <f t="shared" si="5"/>
        <v>#VALUE!</v>
      </c>
      <c r="F97" s="42" t="e">
        <f t="shared" si="6"/>
        <v>#VALUE!</v>
      </c>
      <c r="G97" s="50" t="e">
        <f t="shared" si="7"/>
        <v>#VALUE!</v>
      </c>
      <c r="H97" s="41" t="e">
        <f t="shared" si="8"/>
        <v>#VALUE!</v>
      </c>
      <c r="I97" s="41" t="e">
        <f t="shared" si="9"/>
        <v>#VALUE!</v>
      </c>
      <c r="J97" s="45" t="e">
        <f t="shared" si="10"/>
        <v>#VALUE!</v>
      </c>
      <c r="M97" s="48" t="b">
        <f t="shared" si="11"/>
        <v>0</v>
      </c>
      <c r="N97" s="49" t="e">
        <f t="shared" ref="N97:DJ97" si="114">IF(N$1&gt;$L$2,   "",   IF(N$1=$L$2,  1,  IF($L$2-N$1=$L$1-$M97, $L$3^($L$1-$M97), ($L$3*N98*O98/(N98+($L$3-1)*O98) ))))</f>
        <v>#DIV/0!</v>
      </c>
      <c r="O97" s="49" t="e">
        <f t="shared" si="114"/>
        <v>#DIV/0!</v>
      </c>
      <c r="P97" s="49" t="e">
        <f t="shared" si="114"/>
        <v>#DIV/0!</v>
      </c>
      <c r="Q97" s="49" t="e">
        <f t="shared" si="114"/>
        <v>#DIV/0!</v>
      </c>
      <c r="R97" s="49">
        <f t="shared" si="114"/>
        <v>1</v>
      </c>
      <c r="S97" s="49" t="str">
        <f t="shared" si="114"/>
        <v/>
      </c>
      <c r="T97" s="49" t="str">
        <f t="shared" si="114"/>
        <v/>
      </c>
      <c r="U97" s="49" t="str">
        <f t="shared" si="114"/>
        <v/>
      </c>
      <c r="V97" s="49" t="str">
        <f t="shared" si="114"/>
        <v/>
      </c>
      <c r="W97" s="49" t="str">
        <f t="shared" si="114"/>
        <v/>
      </c>
      <c r="X97" s="49" t="str">
        <f t="shared" si="114"/>
        <v/>
      </c>
      <c r="Y97" s="49" t="str">
        <f t="shared" si="114"/>
        <v/>
      </c>
      <c r="Z97" s="49" t="str">
        <f t="shared" si="114"/>
        <v/>
      </c>
      <c r="AA97" s="49" t="str">
        <f t="shared" si="114"/>
        <v/>
      </c>
      <c r="AB97" s="49" t="str">
        <f t="shared" si="114"/>
        <v/>
      </c>
      <c r="AC97" s="49" t="str">
        <f t="shared" si="114"/>
        <v/>
      </c>
      <c r="AD97" s="49" t="str">
        <f t="shared" si="114"/>
        <v/>
      </c>
      <c r="AE97" s="49" t="str">
        <f t="shared" si="114"/>
        <v/>
      </c>
      <c r="AF97" s="49" t="str">
        <f t="shared" si="114"/>
        <v/>
      </c>
      <c r="AG97" s="49" t="str">
        <f t="shared" si="114"/>
        <v/>
      </c>
      <c r="AH97" s="49" t="str">
        <f t="shared" si="114"/>
        <v/>
      </c>
      <c r="AI97" s="49" t="str">
        <f t="shared" si="114"/>
        <v/>
      </c>
      <c r="AJ97" s="49" t="str">
        <f t="shared" si="114"/>
        <v/>
      </c>
      <c r="AK97" s="49" t="str">
        <f t="shared" si="114"/>
        <v/>
      </c>
      <c r="AL97" s="49" t="str">
        <f t="shared" si="114"/>
        <v/>
      </c>
      <c r="AM97" s="49" t="str">
        <f t="shared" si="114"/>
        <v/>
      </c>
      <c r="AN97" s="49" t="str">
        <f t="shared" si="114"/>
        <v/>
      </c>
      <c r="AO97" s="49" t="str">
        <f t="shared" si="114"/>
        <v/>
      </c>
      <c r="AP97" s="49" t="str">
        <f t="shared" si="114"/>
        <v/>
      </c>
      <c r="AQ97" s="49" t="str">
        <f t="shared" si="114"/>
        <v/>
      </c>
      <c r="AR97" s="49" t="str">
        <f t="shared" si="114"/>
        <v/>
      </c>
      <c r="AS97" s="49" t="str">
        <f t="shared" si="114"/>
        <v/>
      </c>
      <c r="AT97" s="49" t="str">
        <f t="shared" si="114"/>
        <v/>
      </c>
      <c r="AU97" s="49" t="str">
        <f t="shared" si="114"/>
        <v/>
      </c>
      <c r="AV97" s="49" t="str">
        <f t="shared" si="114"/>
        <v/>
      </c>
      <c r="AW97" s="49" t="str">
        <f t="shared" si="114"/>
        <v/>
      </c>
      <c r="AX97" s="49" t="str">
        <f t="shared" si="114"/>
        <v/>
      </c>
      <c r="AY97" s="49" t="str">
        <f t="shared" si="114"/>
        <v/>
      </c>
      <c r="AZ97" s="49" t="str">
        <f t="shared" si="114"/>
        <v/>
      </c>
      <c r="BA97" s="49" t="str">
        <f t="shared" si="114"/>
        <v/>
      </c>
      <c r="BB97" s="49" t="str">
        <f t="shared" si="114"/>
        <v/>
      </c>
      <c r="BC97" s="49" t="str">
        <f t="shared" si="114"/>
        <v/>
      </c>
      <c r="BD97" s="49" t="str">
        <f t="shared" si="114"/>
        <v/>
      </c>
      <c r="BE97" s="49" t="str">
        <f t="shared" si="114"/>
        <v/>
      </c>
      <c r="BF97" s="49" t="str">
        <f t="shared" si="114"/>
        <v/>
      </c>
      <c r="BG97" s="49" t="str">
        <f t="shared" si="114"/>
        <v/>
      </c>
      <c r="BH97" s="49" t="str">
        <f t="shared" si="114"/>
        <v/>
      </c>
      <c r="BI97" s="49" t="str">
        <f t="shared" si="114"/>
        <v/>
      </c>
      <c r="BJ97" s="49" t="str">
        <f t="shared" si="114"/>
        <v/>
      </c>
      <c r="BK97" s="49" t="str">
        <f t="shared" si="114"/>
        <v/>
      </c>
      <c r="BL97" s="49" t="str">
        <f t="shared" si="114"/>
        <v/>
      </c>
      <c r="BM97" s="49" t="str">
        <f t="shared" si="114"/>
        <v/>
      </c>
      <c r="BN97" s="49" t="str">
        <f t="shared" si="114"/>
        <v/>
      </c>
      <c r="BO97" s="49" t="str">
        <f t="shared" si="114"/>
        <v/>
      </c>
      <c r="BP97" s="49" t="str">
        <f t="shared" si="114"/>
        <v/>
      </c>
      <c r="BQ97" s="49" t="str">
        <f t="shared" si="114"/>
        <v/>
      </c>
      <c r="BR97" s="49" t="str">
        <f t="shared" si="114"/>
        <v/>
      </c>
      <c r="BS97" s="49" t="str">
        <f t="shared" si="114"/>
        <v/>
      </c>
      <c r="BT97" s="49" t="str">
        <f t="shared" si="114"/>
        <v/>
      </c>
      <c r="BU97" s="49" t="str">
        <f t="shared" si="114"/>
        <v/>
      </c>
      <c r="BV97" s="49" t="str">
        <f t="shared" si="114"/>
        <v/>
      </c>
      <c r="BW97" s="49" t="str">
        <f t="shared" si="114"/>
        <v/>
      </c>
      <c r="BX97" s="49" t="str">
        <f t="shared" si="114"/>
        <v/>
      </c>
      <c r="BY97" s="49" t="str">
        <f t="shared" si="114"/>
        <v/>
      </c>
      <c r="BZ97" s="49" t="str">
        <f t="shared" si="114"/>
        <v/>
      </c>
      <c r="CA97" s="49" t="str">
        <f t="shared" si="114"/>
        <v/>
      </c>
      <c r="CB97" s="49" t="str">
        <f t="shared" si="114"/>
        <v/>
      </c>
      <c r="CC97" s="49" t="str">
        <f t="shared" si="114"/>
        <v/>
      </c>
      <c r="CD97" s="49" t="str">
        <f t="shared" si="114"/>
        <v/>
      </c>
      <c r="CE97" s="49" t="str">
        <f t="shared" si="114"/>
        <v/>
      </c>
      <c r="CF97" s="49" t="str">
        <f t="shared" si="114"/>
        <v/>
      </c>
      <c r="CG97" s="49" t="str">
        <f t="shared" si="114"/>
        <v/>
      </c>
      <c r="CH97" s="49" t="str">
        <f t="shared" si="114"/>
        <v/>
      </c>
      <c r="CI97" s="49" t="str">
        <f t="shared" si="114"/>
        <v/>
      </c>
      <c r="CJ97" s="49" t="str">
        <f t="shared" si="114"/>
        <v/>
      </c>
      <c r="CK97" s="49" t="str">
        <f t="shared" si="114"/>
        <v/>
      </c>
      <c r="CL97" s="49" t="str">
        <f t="shared" si="114"/>
        <v/>
      </c>
      <c r="CM97" s="49" t="str">
        <f t="shared" si="114"/>
        <v/>
      </c>
      <c r="CN97" s="49" t="str">
        <f t="shared" si="114"/>
        <v/>
      </c>
      <c r="CO97" s="49" t="str">
        <f t="shared" si="114"/>
        <v/>
      </c>
      <c r="CP97" s="49" t="str">
        <f t="shared" si="114"/>
        <v/>
      </c>
      <c r="CQ97" s="49" t="str">
        <f t="shared" si="114"/>
        <v/>
      </c>
      <c r="CR97" s="49" t="str">
        <f t="shared" si="114"/>
        <v/>
      </c>
      <c r="CS97" s="49" t="str">
        <f t="shared" si="114"/>
        <v/>
      </c>
      <c r="CT97" s="49" t="str">
        <f t="shared" si="114"/>
        <v/>
      </c>
      <c r="CU97" s="49" t="str">
        <f t="shared" si="114"/>
        <v/>
      </c>
      <c r="CV97" s="49" t="str">
        <f t="shared" si="114"/>
        <v/>
      </c>
      <c r="CW97" s="49" t="str">
        <f t="shared" si="114"/>
        <v/>
      </c>
      <c r="CX97" s="49" t="str">
        <f t="shared" si="114"/>
        <v/>
      </c>
      <c r="CY97" s="49" t="str">
        <f t="shared" si="114"/>
        <v/>
      </c>
      <c r="CZ97" s="49" t="str">
        <f t="shared" si="114"/>
        <v/>
      </c>
      <c r="DA97" s="49" t="str">
        <f t="shared" si="114"/>
        <v/>
      </c>
      <c r="DB97" s="49" t="str">
        <f t="shared" si="114"/>
        <v/>
      </c>
      <c r="DC97" s="49" t="str">
        <f t="shared" si="114"/>
        <v/>
      </c>
      <c r="DD97" s="49" t="str">
        <f t="shared" si="114"/>
        <v/>
      </c>
      <c r="DE97" s="49" t="str">
        <f t="shared" si="114"/>
        <v/>
      </c>
      <c r="DF97" s="49" t="str">
        <f t="shared" si="114"/>
        <v/>
      </c>
      <c r="DG97" s="49" t="str">
        <f t="shared" si="114"/>
        <v/>
      </c>
      <c r="DH97" s="49" t="str">
        <f t="shared" si="114"/>
        <v/>
      </c>
      <c r="DI97" s="49" t="str">
        <f t="shared" si="114"/>
        <v/>
      </c>
      <c r="DJ97" s="49" t="str">
        <f t="shared" si="114"/>
        <v/>
      </c>
    </row>
    <row r="98" spans="1:114" ht="15.75" customHeight="1" x14ac:dyDescent="0.55000000000000004">
      <c r="A98" s="41" t="e">
        <f>MASANIELLO!#REF!</f>
        <v>#REF!</v>
      </c>
      <c r="B98" s="41" t="e">
        <f t="shared" si="2"/>
        <v>#VALUE!</v>
      </c>
      <c r="C98" s="42" t="e">
        <f t="shared" si="3"/>
        <v>#VALUE!</v>
      </c>
      <c r="D98" s="42" t="e">
        <f t="shared" si="4"/>
        <v>#VALUE!</v>
      </c>
      <c r="E98" s="42" t="e">
        <f t="shared" si="5"/>
        <v>#VALUE!</v>
      </c>
      <c r="F98" s="42" t="e">
        <f t="shared" si="6"/>
        <v>#VALUE!</v>
      </c>
      <c r="G98" s="50" t="e">
        <f t="shared" si="7"/>
        <v>#VALUE!</v>
      </c>
      <c r="H98" s="41" t="e">
        <f t="shared" si="8"/>
        <v>#VALUE!</v>
      </c>
      <c r="I98" s="41" t="e">
        <f t="shared" si="9"/>
        <v>#VALUE!</v>
      </c>
      <c r="J98" s="45" t="e">
        <f t="shared" si="10"/>
        <v>#VALUE!</v>
      </c>
      <c r="M98" s="48" t="b">
        <f t="shared" si="11"/>
        <v>0</v>
      </c>
      <c r="N98" s="49" t="e">
        <f t="shared" ref="N98:DJ98" si="115">IF(N$1&gt;$L$2,   "",   IF(N$1=$L$2,  1,  IF($L$2-N$1=$L$1-$M98, $L$3^($L$1-$M98), ($L$3*N99*O99/(N99+($L$3-1)*O99) ))))</f>
        <v>#DIV/0!</v>
      </c>
      <c r="O98" s="49" t="e">
        <f t="shared" si="115"/>
        <v>#DIV/0!</v>
      </c>
      <c r="P98" s="49" t="e">
        <f t="shared" si="115"/>
        <v>#DIV/0!</v>
      </c>
      <c r="Q98" s="49" t="e">
        <f t="shared" si="115"/>
        <v>#DIV/0!</v>
      </c>
      <c r="R98" s="49">
        <f t="shared" si="115"/>
        <v>1</v>
      </c>
      <c r="S98" s="49" t="str">
        <f t="shared" si="115"/>
        <v/>
      </c>
      <c r="T98" s="49" t="str">
        <f t="shared" si="115"/>
        <v/>
      </c>
      <c r="U98" s="49" t="str">
        <f t="shared" si="115"/>
        <v/>
      </c>
      <c r="V98" s="49" t="str">
        <f t="shared" si="115"/>
        <v/>
      </c>
      <c r="W98" s="49" t="str">
        <f t="shared" si="115"/>
        <v/>
      </c>
      <c r="X98" s="49" t="str">
        <f t="shared" si="115"/>
        <v/>
      </c>
      <c r="Y98" s="49" t="str">
        <f t="shared" si="115"/>
        <v/>
      </c>
      <c r="Z98" s="49" t="str">
        <f t="shared" si="115"/>
        <v/>
      </c>
      <c r="AA98" s="49" t="str">
        <f t="shared" si="115"/>
        <v/>
      </c>
      <c r="AB98" s="49" t="str">
        <f t="shared" si="115"/>
        <v/>
      </c>
      <c r="AC98" s="49" t="str">
        <f t="shared" si="115"/>
        <v/>
      </c>
      <c r="AD98" s="49" t="str">
        <f t="shared" si="115"/>
        <v/>
      </c>
      <c r="AE98" s="49" t="str">
        <f t="shared" si="115"/>
        <v/>
      </c>
      <c r="AF98" s="49" t="str">
        <f t="shared" si="115"/>
        <v/>
      </c>
      <c r="AG98" s="49" t="str">
        <f t="shared" si="115"/>
        <v/>
      </c>
      <c r="AH98" s="49" t="str">
        <f t="shared" si="115"/>
        <v/>
      </c>
      <c r="AI98" s="49" t="str">
        <f t="shared" si="115"/>
        <v/>
      </c>
      <c r="AJ98" s="49" t="str">
        <f t="shared" si="115"/>
        <v/>
      </c>
      <c r="AK98" s="49" t="str">
        <f t="shared" si="115"/>
        <v/>
      </c>
      <c r="AL98" s="49" t="str">
        <f t="shared" si="115"/>
        <v/>
      </c>
      <c r="AM98" s="49" t="str">
        <f t="shared" si="115"/>
        <v/>
      </c>
      <c r="AN98" s="49" t="str">
        <f t="shared" si="115"/>
        <v/>
      </c>
      <c r="AO98" s="49" t="str">
        <f t="shared" si="115"/>
        <v/>
      </c>
      <c r="AP98" s="49" t="str">
        <f t="shared" si="115"/>
        <v/>
      </c>
      <c r="AQ98" s="49" t="str">
        <f t="shared" si="115"/>
        <v/>
      </c>
      <c r="AR98" s="49" t="str">
        <f t="shared" si="115"/>
        <v/>
      </c>
      <c r="AS98" s="49" t="str">
        <f t="shared" si="115"/>
        <v/>
      </c>
      <c r="AT98" s="49" t="str">
        <f t="shared" si="115"/>
        <v/>
      </c>
      <c r="AU98" s="49" t="str">
        <f t="shared" si="115"/>
        <v/>
      </c>
      <c r="AV98" s="49" t="str">
        <f t="shared" si="115"/>
        <v/>
      </c>
      <c r="AW98" s="49" t="str">
        <f t="shared" si="115"/>
        <v/>
      </c>
      <c r="AX98" s="49" t="str">
        <f t="shared" si="115"/>
        <v/>
      </c>
      <c r="AY98" s="49" t="str">
        <f t="shared" si="115"/>
        <v/>
      </c>
      <c r="AZ98" s="49" t="str">
        <f t="shared" si="115"/>
        <v/>
      </c>
      <c r="BA98" s="49" t="str">
        <f t="shared" si="115"/>
        <v/>
      </c>
      <c r="BB98" s="49" t="str">
        <f t="shared" si="115"/>
        <v/>
      </c>
      <c r="BC98" s="49" t="str">
        <f t="shared" si="115"/>
        <v/>
      </c>
      <c r="BD98" s="49" t="str">
        <f t="shared" si="115"/>
        <v/>
      </c>
      <c r="BE98" s="49" t="str">
        <f t="shared" si="115"/>
        <v/>
      </c>
      <c r="BF98" s="49" t="str">
        <f t="shared" si="115"/>
        <v/>
      </c>
      <c r="BG98" s="49" t="str">
        <f t="shared" si="115"/>
        <v/>
      </c>
      <c r="BH98" s="49" t="str">
        <f t="shared" si="115"/>
        <v/>
      </c>
      <c r="BI98" s="49" t="str">
        <f t="shared" si="115"/>
        <v/>
      </c>
      <c r="BJ98" s="49" t="str">
        <f t="shared" si="115"/>
        <v/>
      </c>
      <c r="BK98" s="49" t="str">
        <f t="shared" si="115"/>
        <v/>
      </c>
      <c r="BL98" s="49" t="str">
        <f t="shared" si="115"/>
        <v/>
      </c>
      <c r="BM98" s="49" t="str">
        <f t="shared" si="115"/>
        <v/>
      </c>
      <c r="BN98" s="49" t="str">
        <f t="shared" si="115"/>
        <v/>
      </c>
      <c r="BO98" s="49" t="str">
        <f t="shared" si="115"/>
        <v/>
      </c>
      <c r="BP98" s="49" t="str">
        <f t="shared" si="115"/>
        <v/>
      </c>
      <c r="BQ98" s="49" t="str">
        <f t="shared" si="115"/>
        <v/>
      </c>
      <c r="BR98" s="49" t="str">
        <f t="shared" si="115"/>
        <v/>
      </c>
      <c r="BS98" s="49" t="str">
        <f t="shared" si="115"/>
        <v/>
      </c>
      <c r="BT98" s="49" t="str">
        <f t="shared" si="115"/>
        <v/>
      </c>
      <c r="BU98" s="49" t="str">
        <f t="shared" si="115"/>
        <v/>
      </c>
      <c r="BV98" s="49" t="str">
        <f t="shared" si="115"/>
        <v/>
      </c>
      <c r="BW98" s="49" t="str">
        <f t="shared" si="115"/>
        <v/>
      </c>
      <c r="BX98" s="49" t="str">
        <f t="shared" si="115"/>
        <v/>
      </c>
      <c r="BY98" s="49" t="str">
        <f t="shared" si="115"/>
        <v/>
      </c>
      <c r="BZ98" s="49" t="str">
        <f t="shared" si="115"/>
        <v/>
      </c>
      <c r="CA98" s="49" t="str">
        <f t="shared" si="115"/>
        <v/>
      </c>
      <c r="CB98" s="49" t="str">
        <f t="shared" si="115"/>
        <v/>
      </c>
      <c r="CC98" s="49" t="str">
        <f t="shared" si="115"/>
        <v/>
      </c>
      <c r="CD98" s="49" t="str">
        <f t="shared" si="115"/>
        <v/>
      </c>
      <c r="CE98" s="49" t="str">
        <f t="shared" si="115"/>
        <v/>
      </c>
      <c r="CF98" s="49" t="str">
        <f t="shared" si="115"/>
        <v/>
      </c>
      <c r="CG98" s="49" t="str">
        <f t="shared" si="115"/>
        <v/>
      </c>
      <c r="CH98" s="49" t="str">
        <f t="shared" si="115"/>
        <v/>
      </c>
      <c r="CI98" s="49" t="str">
        <f t="shared" si="115"/>
        <v/>
      </c>
      <c r="CJ98" s="49" t="str">
        <f t="shared" si="115"/>
        <v/>
      </c>
      <c r="CK98" s="49" t="str">
        <f t="shared" si="115"/>
        <v/>
      </c>
      <c r="CL98" s="49" t="str">
        <f t="shared" si="115"/>
        <v/>
      </c>
      <c r="CM98" s="49" t="str">
        <f t="shared" si="115"/>
        <v/>
      </c>
      <c r="CN98" s="49" t="str">
        <f t="shared" si="115"/>
        <v/>
      </c>
      <c r="CO98" s="49" t="str">
        <f t="shared" si="115"/>
        <v/>
      </c>
      <c r="CP98" s="49" t="str">
        <f t="shared" si="115"/>
        <v/>
      </c>
      <c r="CQ98" s="49" t="str">
        <f t="shared" si="115"/>
        <v/>
      </c>
      <c r="CR98" s="49" t="str">
        <f t="shared" si="115"/>
        <v/>
      </c>
      <c r="CS98" s="49" t="str">
        <f t="shared" si="115"/>
        <v/>
      </c>
      <c r="CT98" s="49" t="str">
        <f t="shared" si="115"/>
        <v/>
      </c>
      <c r="CU98" s="49" t="str">
        <f t="shared" si="115"/>
        <v/>
      </c>
      <c r="CV98" s="49" t="str">
        <f t="shared" si="115"/>
        <v/>
      </c>
      <c r="CW98" s="49" t="str">
        <f t="shared" si="115"/>
        <v/>
      </c>
      <c r="CX98" s="49" t="str">
        <f t="shared" si="115"/>
        <v/>
      </c>
      <c r="CY98" s="49" t="str">
        <f t="shared" si="115"/>
        <v/>
      </c>
      <c r="CZ98" s="49" t="str">
        <f t="shared" si="115"/>
        <v/>
      </c>
      <c r="DA98" s="49" t="str">
        <f t="shared" si="115"/>
        <v/>
      </c>
      <c r="DB98" s="49" t="str">
        <f t="shared" si="115"/>
        <v/>
      </c>
      <c r="DC98" s="49" t="str">
        <f t="shared" si="115"/>
        <v/>
      </c>
      <c r="DD98" s="49" t="str">
        <f t="shared" si="115"/>
        <v/>
      </c>
      <c r="DE98" s="49" t="str">
        <f t="shared" si="115"/>
        <v/>
      </c>
      <c r="DF98" s="49" t="str">
        <f t="shared" si="115"/>
        <v/>
      </c>
      <c r="DG98" s="49" t="str">
        <f t="shared" si="115"/>
        <v/>
      </c>
      <c r="DH98" s="49" t="str">
        <f t="shared" si="115"/>
        <v/>
      </c>
      <c r="DI98" s="49" t="str">
        <f t="shared" si="115"/>
        <v/>
      </c>
      <c r="DJ98" s="49" t="str">
        <f t="shared" si="115"/>
        <v/>
      </c>
    </row>
    <row r="99" spans="1:114" ht="15.75" customHeight="1" x14ac:dyDescent="0.55000000000000004">
      <c r="A99" s="41" t="e">
        <f>MASANIELLO!#REF!</f>
        <v>#REF!</v>
      </c>
      <c r="B99" s="41" t="e">
        <f t="shared" si="2"/>
        <v>#VALUE!</v>
      </c>
      <c r="C99" s="42" t="e">
        <f t="shared" si="3"/>
        <v>#VALUE!</v>
      </c>
      <c r="D99" s="42" t="e">
        <f t="shared" si="4"/>
        <v>#VALUE!</v>
      </c>
      <c r="E99" s="42" t="e">
        <f t="shared" si="5"/>
        <v>#VALUE!</v>
      </c>
      <c r="F99" s="42" t="e">
        <f t="shared" si="6"/>
        <v>#VALUE!</v>
      </c>
      <c r="G99" s="50" t="e">
        <f t="shared" si="7"/>
        <v>#VALUE!</v>
      </c>
      <c r="H99" s="41" t="e">
        <f t="shared" si="8"/>
        <v>#VALUE!</v>
      </c>
      <c r="I99" s="41" t="e">
        <f t="shared" si="9"/>
        <v>#VALUE!</v>
      </c>
      <c r="J99" s="45" t="e">
        <f t="shared" si="10"/>
        <v>#VALUE!</v>
      </c>
      <c r="M99" s="48" t="b">
        <f t="shared" si="11"/>
        <v>0</v>
      </c>
      <c r="N99" s="49" t="e">
        <f t="shared" ref="N99:DJ99" si="116">IF(N$1&gt;$L$2,   "",   IF(N$1=$L$2,  1,  IF($L$2-N$1=$L$1-$M99, $L$3^($L$1-$M99), ($L$3*N100*O100/(N100+($L$3-1)*O100) ))))</f>
        <v>#DIV/0!</v>
      </c>
      <c r="O99" s="49" t="e">
        <f t="shared" si="116"/>
        <v>#DIV/0!</v>
      </c>
      <c r="P99" s="49" t="e">
        <f t="shared" si="116"/>
        <v>#DIV/0!</v>
      </c>
      <c r="Q99" s="49" t="e">
        <f t="shared" si="116"/>
        <v>#DIV/0!</v>
      </c>
      <c r="R99" s="49">
        <f t="shared" si="116"/>
        <v>1</v>
      </c>
      <c r="S99" s="49" t="str">
        <f t="shared" si="116"/>
        <v/>
      </c>
      <c r="T99" s="49" t="str">
        <f t="shared" si="116"/>
        <v/>
      </c>
      <c r="U99" s="49" t="str">
        <f t="shared" si="116"/>
        <v/>
      </c>
      <c r="V99" s="49" t="str">
        <f t="shared" si="116"/>
        <v/>
      </c>
      <c r="W99" s="49" t="str">
        <f t="shared" si="116"/>
        <v/>
      </c>
      <c r="X99" s="49" t="str">
        <f t="shared" si="116"/>
        <v/>
      </c>
      <c r="Y99" s="49" t="str">
        <f t="shared" si="116"/>
        <v/>
      </c>
      <c r="Z99" s="49" t="str">
        <f t="shared" si="116"/>
        <v/>
      </c>
      <c r="AA99" s="49" t="str">
        <f t="shared" si="116"/>
        <v/>
      </c>
      <c r="AB99" s="49" t="str">
        <f t="shared" si="116"/>
        <v/>
      </c>
      <c r="AC99" s="49" t="str">
        <f t="shared" si="116"/>
        <v/>
      </c>
      <c r="AD99" s="49" t="str">
        <f t="shared" si="116"/>
        <v/>
      </c>
      <c r="AE99" s="49" t="str">
        <f t="shared" si="116"/>
        <v/>
      </c>
      <c r="AF99" s="49" t="str">
        <f t="shared" si="116"/>
        <v/>
      </c>
      <c r="AG99" s="49" t="str">
        <f t="shared" si="116"/>
        <v/>
      </c>
      <c r="AH99" s="49" t="str">
        <f t="shared" si="116"/>
        <v/>
      </c>
      <c r="AI99" s="49" t="str">
        <f t="shared" si="116"/>
        <v/>
      </c>
      <c r="AJ99" s="49" t="str">
        <f t="shared" si="116"/>
        <v/>
      </c>
      <c r="AK99" s="49" t="str">
        <f t="shared" si="116"/>
        <v/>
      </c>
      <c r="AL99" s="49" t="str">
        <f t="shared" si="116"/>
        <v/>
      </c>
      <c r="AM99" s="49" t="str">
        <f t="shared" si="116"/>
        <v/>
      </c>
      <c r="AN99" s="49" t="str">
        <f t="shared" si="116"/>
        <v/>
      </c>
      <c r="AO99" s="49" t="str">
        <f t="shared" si="116"/>
        <v/>
      </c>
      <c r="AP99" s="49" t="str">
        <f t="shared" si="116"/>
        <v/>
      </c>
      <c r="AQ99" s="49" t="str">
        <f t="shared" si="116"/>
        <v/>
      </c>
      <c r="AR99" s="49" t="str">
        <f t="shared" si="116"/>
        <v/>
      </c>
      <c r="AS99" s="49" t="str">
        <f t="shared" si="116"/>
        <v/>
      </c>
      <c r="AT99" s="49" t="str">
        <f t="shared" si="116"/>
        <v/>
      </c>
      <c r="AU99" s="49" t="str">
        <f t="shared" si="116"/>
        <v/>
      </c>
      <c r="AV99" s="49" t="str">
        <f t="shared" si="116"/>
        <v/>
      </c>
      <c r="AW99" s="49" t="str">
        <f t="shared" si="116"/>
        <v/>
      </c>
      <c r="AX99" s="49" t="str">
        <f t="shared" si="116"/>
        <v/>
      </c>
      <c r="AY99" s="49" t="str">
        <f t="shared" si="116"/>
        <v/>
      </c>
      <c r="AZ99" s="49" t="str">
        <f t="shared" si="116"/>
        <v/>
      </c>
      <c r="BA99" s="49" t="str">
        <f t="shared" si="116"/>
        <v/>
      </c>
      <c r="BB99" s="49" t="str">
        <f t="shared" si="116"/>
        <v/>
      </c>
      <c r="BC99" s="49" t="str">
        <f t="shared" si="116"/>
        <v/>
      </c>
      <c r="BD99" s="49" t="str">
        <f t="shared" si="116"/>
        <v/>
      </c>
      <c r="BE99" s="49" t="str">
        <f t="shared" si="116"/>
        <v/>
      </c>
      <c r="BF99" s="49" t="str">
        <f t="shared" si="116"/>
        <v/>
      </c>
      <c r="BG99" s="49" t="str">
        <f t="shared" si="116"/>
        <v/>
      </c>
      <c r="BH99" s="49" t="str">
        <f t="shared" si="116"/>
        <v/>
      </c>
      <c r="BI99" s="49" t="str">
        <f t="shared" si="116"/>
        <v/>
      </c>
      <c r="BJ99" s="49" t="str">
        <f t="shared" si="116"/>
        <v/>
      </c>
      <c r="BK99" s="49" t="str">
        <f t="shared" si="116"/>
        <v/>
      </c>
      <c r="BL99" s="49" t="str">
        <f t="shared" si="116"/>
        <v/>
      </c>
      <c r="BM99" s="49" t="str">
        <f t="shared" si="116"/>
        <v/>
      </c>
      <c r="BN99" s="49" t="str">
        <f t="shared" si="116"/>
        <v/>
      </c>
      <c r="BO99" s="49" t="str">
        <f t="shared" si="116"/>
        <v/>
      </c>
      <c r="BP99" s="49" t="str">
        <f t="shared" si="116"/>
        <v/>
      </c>
      <c r="BQ99" s="49" t="str">
        <f t="shared" si="116"/>
        <v/>
      </c>
      <c r="BR99" s="49" t="str">
        <f t="shared" si="116"/>
        <v/>
      </c>
      <c r="BS99" s="49" t="str">
        <f t="shared" si="116"/>
        <v/>
      </c>
      <c r="BT99" s="49" t="str">
        <f t="shared" si="116"/>
        <v/>
      </c>
      <c r="BU99" s="49" t="str">
        <f t="shared" si="116"/>
        <v/>
      </c>
      <c r="BV99" s="49" t="str">
        <f t="shared" si="116"/>
        <v/>
      </c>
      <c r="BW99" s="49" t="str">
        <f t="shared" si="116"/>
        <v/>
      </c>
      <c r="BX99" s="49" t="str">
        <f t="shared" si="116"/>
        <v/>
      </c>
      <c r="BY99" s="49" t="str">
        <f t="shared" si="116"/>
        <v/>
      </c>
      <c r="BZ99" s="49" t="str">
        <f t="shared" si="116"/>
        <v/>
      </c>
      <c r="CA99" s="49" t="str">
        <f t="shared" si="116"/>
        <v/>
      </c>
      <c r="CB99" s="49" t="str">
        <f t="shared" si="116"/>
        <v/>
      </c>
      <c r="CC99" s="49" t="str">
        <f t="shared" si="116"/>
        <v/>
      </c>
      <c r="CD99" s="49" t="str">
        <f t="shared" si="116"/>
        <v/>
      </c>
      <c r="CE99" s="49" t="str">
        <f t="shared" si="116"/>
        <v/>
      </c>
      <c r="CF99" s="49" t="str">
        <f t="shared" si="116"/>
        <v/>
      </c>
      <c r="CG99" s="49" t="str">
        <f t="shared" si="116"/>
        <v/>
      </c>
      <c r="CH99" s="49" t="str">
        <f t="shared" si="116"/>
        <v/>
      </c>
      <c r="CI99" s="49" t="str">
        <f t="shared" si="116"/>
        <v/>
      </c>
      <c r="CJ99" s="49" t="str">
        <f t="shared" si="116"/>
        <v/>
      </c>
      <c r="CK99" s="49" t="str">
        <f t="shared" si="116"/>
        <v/>
      </c>
      <c r="CL99" s="49" t="str">
        <f t="shared" si="116"/>
        <v/>
      </c>
      <c r="CM99" s="49" t="str">
        <f t="shared" si="116"/>
        <v/>
      </c>
      <c r="CN99" s="49" t="str">
        <f t="shared" si="116"/>
        <v/>
      </c>
      <c r="CO99" s="49" t="str">
        <f t="shared" si="116"/>
        <v/>
      </c>
      <c r="CP99" s="49" t="str">
        <f t="shared" si="116"/>
        <v/>
      </c>
      <c r="CQ99" s="49" t="str">
        <f t="shared" si="116"/>
        <v/>
      </c>
      <c r="CR99" s="49" t="str">
        <f t="shared" si="116"/>
        <v/>
      </c>
      <c r="CS99" s="49" t="str">
        <f t="shared" si="116"/>
        <v/>
      </c>
      <c r="CT99" s="49" t="str">
        <f t="shared" si="116"/>
        <v/>
      </c>
      <c r="CU99" s="49" t="str">
        <f t="shared" si="116"/>
        <v/>
      </c>
      <c r="CV99" s="49" t="str">
        <f t="shared" si="116"/>
        <v/>
      </c>
      <c r="CW99" s="49" t="str">
        <f t="shared" si="116"/>
        <v/>
      </c>
      <c r="CX99" s="49" t="str">
        <f t="shared" si="116"/>
        <v/>
      </c>
      <c r="CY99" s="49" t="str">
        <f t="shared" si="116"/>
        <v/>
      </c>
      <c r="CZ99" s="49" t="str">
        <f t="shared" si="116"/>
        <v/>
      </c>
      <c r="DA99" s="49" t="str">
        <f t="shared" si="116"/>
        <v/>
      </c>
      <c r="DB99" s="49" t="str">
        <f t="shared" si="116"/>
        <v/>
      </c>
      <c r="DC99" s="49" t="str">
        <f t="shared" si="116"/>
        <v/>
      </c>
      <c r="DD99" s="49" t="str">
        <f t="shared" si="116"/>
        <v/>
      </c>
      <c r="DE99" s="49" t="str">
        <f t="shared" si="116"/>
        <v/>
      </c>
      <c r="DF99" s="49" t="str">
        <f t="shared" si="116"/>
        <v/>
      </c>
      <c r="DG99" s="49" t="str">
        <f t="shared" si="116"/>
        <v/>
      </c>
      <c r="DH99" s="49" t="str">
        <f t="shared" si="116"/>
        <v/>
      </c>
      <c r="DI99" s="49" t="str">
        <f t="shared" si="116"/>
        <v/>
      </c>
      <c r="DJ99" s="49" t="str">
        <f t="shared" si="116"/>
        <v/>
      </c>
    </row>
    <row r="100" spans="1:114" ht="15.75" customHeight="1" x14ac:dyDescent="0.55000000000000004">
      <c r="A100" s="41" t="e">
        <f>MASANIELLO!#REF!</f>
        <v>#REF!</v>
      </c>
      <c r="B100" s="41" t="e">
        <f t="shared" si="2"/>
        <v>#VALUE!</v>
      </c>
      <c r="C100" s="42" t="e">
        <f t="shared" si="3"/>
        <v>#VALUE!</v>
      </c>
      <c r="D100" s="42" t="e">
        <f t="shared" si="4"/>
        <v>#VALUE!</v>
      </c>
      <c r="E100" s="42" t="e">
        <f t="shared" si="5"/>
        <v>#VALUE!</v>
      </c>
      <c r="F100" s="42" t="e">
        <f t="shared" si="6"/>
        <v>#VALUE!</v>
      </c>
      <c r="G100" s="50" t="e">
        <f t="shared" si="7"/>
        <v>#VALUE!</v>
      </c>
      <c r="H100" s="41" t="e">
        <f t="shared" si="8"/>
        <v>#VALUE!</v>
      </c>
      <c r="I100" s="41" t="e">
        <f t="shared" si="9"/>
        <v>#VALUE!</v>
      </c>
      <c r="J100" s="45" t="e">
        <f t="shared" si="10"/>
        <v>#VALUE!</v>
      </c>
      <c r="M100" s="48" t="b">
        <f t="shared" si="11"/>
        <v>0</v>
      </c>
      <c r="N100" s="49" t="e">
        <f t="shared" ref="N100:DJ100" si="117">IF(N$1&gt;$L$2,   "",   IF(N$1=$L$2,  1,  IF($L$2-N$1=$L$1-$M100, $L$3^($L$1-$M100), ($L$3*N101*O101/(N101+($L$3-1)*O101) ))))</f>
        <v>#DIV/0!</v>
      </c>
      <c r="O100" s="49" t="e">
        <f t="shared" si="117"/>
        <v>#DIV/0!</v>
      </c>
      <c r="P100" s="49" t="e">
        <f t="shared" si="117"/>
        <v>#DIV/0!</v>
      </c>
      <c r="Q100" s="49" t="e">
        <f t="shared" si="117"/>
        <v>#DIV/0!</v>
      </c>
      <c r="R100" s="49">
        <f t="shared" si="117"/>
        <v>1</v>
      </c>
      <c r="S100" s="49" t="str">
        <f t="shared" si="117"/>
        <v/>
      </c>
      <c r="T100" s="49" t="str">
        <f t="shared" si="117"/>
        <v/>
      </c>
      <c r="U100" s="49" t="str">
        <f t="shared" si="117"/>
        <v/>
      </c>
      <c r="V100" s="49" t="str">
        <f t="shared" si="117"/>
        <v/>
      </c>
      <c r="W100" s="49" t="str">
        <f t="shared" si="117"/>
        <v/>
      </c>
      <c r="X100" s="49" t="str">
        <f t="shared" si="117"/>
        <v/>
      </c>
      <c r="Y100" s="49" t="str">
        <f t="shared" si="117"/>
        <v/>
      </c>
      <c r="Z100" s="49" t="str">
        <f t="shared" si="117"/>
        <v/>
      </c>
      <c r="AA100" s="49" t="str">
        <f t="shared" si="117"/>
        <v/>
      </c>
      <c r="AB100" s="49" t="str">
        <f t="shared" si="117"/>
        <v/>
      </c>
      <c r="AC100" s="49" t="str">
        <f t="shared" si="117"/>
        <v/>
      </c>
      <c r="AD100" s="49" t="str">
        <f t="shared" si="117"/>
        <v/>
      </c>
      <c r="AE100" s="49" t="str">
        <f t="shared" si="117"/>
        <v/>
      </c>
      <c r="AF100" s="49" t="str">
        <f t="shared" si="117"/>
        <v/>
      </c>
      <c r="AG100" s="49" t="str">
        <f t="shared" si="117"/>
        <v/>
      </c>
      <c r="AH100" s="49" t="str">
        <f t="shared" si="117"/>
        <v/>
      </c>
      <c r="AI100" s="49" t="str">
        <f t="shared" si="117"/>
        <v/>
      </c>
      <c r="AJ100" s="49" t="str">
        <f t="shared" si="117"/>
        <v/>
      </c>
      <c r="AK100" s="49" t="str">
        <f t="shared" si="117"/>
        <v/>
      </c>
      <c r="AL100" s="49" t="str">
        <f t="shared" si="117"/>
        <v/>
      </c>
      <c r="AM100" s="49" t="str">
        <f t="shared" si="117"/>
        <v/>
      </c>
      <c r="AN100" s="49" t="str">
        <f t="shared" si="117"/>
        <v/>
      </c>
      <c r="AO100" s="49" t="str">
        <f t="shared" si="117"/>
        <v/>
      </c>
      <c r="AP100" s="49" t="str">
        <f t="shared" si="117"/>
        <v/>
      </c>
      <c r="AQ100" s="49" t="str">
        <f t="shared" si="117"/>
        <v/>
      </c>
      <c r="AR100" s="49" t="str">
        <f t="shared" si="117"/>
        <v/>
      </c>
      <c r="AS100" s="49" t="str">
        <f t="shared" si="117"/>
        <v/>
      </c>
      <c r="AT100" s="49" t="str">
        <f t="shared" si="117"/>
        <v/>
      </c>
      <c r="AU100" s="49" t="str">
        <f t="shared" si="117"/>
        <v/>
      </c>
      <c r="AV100" s="49" t="str">
        <f t="shared" si="117"/>
        <v/>
      </c>
      <c r="AW100" s="49" t="str">
        <f t="shared" si="117"/>
        <v/>
      </c>
      <c r="AX100" s="49" t="str">
        <f t="shared" si="117"/>
        <v/>
      </c>
      <c r="AY100" s="49" t="str">
        <f t="shared" si="117"/>
        <v/>
      </c>
      <c r="AZ100" s="49" t="str">
        <f t="shared" si="117"/>
        <v/>
      </c>
      <c r="BA100" s="49" t="str">
        <f t="shared" si="117"/>
        <v/>
      </c>
      <c r="BB100" s="49" t="str">
        <f t="shared" si="117"/>
        <v/>
      </c>
      <c r="BC100" s="49" t="str">
        <f t="shared" si="117"/>
        <v/>
      </c>
      <c r="BD100" s="49" t="str">
        <f t="shared" si="117"/>
        <v/>
      </c>
      <c r="BE100" s="49" t="str">
        <f t="shared" si="117"/>
        <v/>
      </c>
      <c r="BF100" s="49" t="str">
        <f t="shared" si="117"/>
        <v/>
      </c>
      <c r="BG100" s="49" t="str">
        <f t="shared" si="117"/>
        <v/>
      </c>
      <c r="BH100" s="49" t="str">
        <f t="shared" si="117"/>
        <v/>
      </c>
      <c r="BI100" s="49" t="str">
        <f t="shared" si="117"/>
        <v/>
      </c>
      <c r="BJ100" s="49" t="str">
        <f t="shared" si="117"/>
        <v/>
      </c>
      <c r="BK100" s="49" t="str">
        <f t="shared" si="117"/>
        <v/>
      </c>
      <c r="BL100" s="49" t="str">
        <f t="shared" si="117"/>
        <v/>
      </c>
      <c r="BM100" s="49" t="str">
        <f t="shared" si="117"/>
        <v/>
      </c>
      <c r="BN100" s="49" t="str">
        <f t="shared" si="117"/>
        <v/>
      </c>
      <c r="BO100" s="49" t="str">
        <f t="shared" si="117"/>
        <v/>
      </c>
      <c r="BP100" s="49" t="str">
        <f t="shared" si="117"/>
        <v/>
      </c>
      <c r="BQ100" s="49" t="str">
        <f t="shared" si="117"/>
        <v/>
      </c>
      <c r="BR100" s="49" t="str">
        <f t="shared" si="117"/>
        <v/>
      </c>
      <c r="BS100" s="49" t="str">
        <f t="shared" si="117"/>
        <v/>
      </c>
      <c r="BT100" s="49" t="str">
        <f t="shared" si="117"/>
        <v/>
      </c>
      <c r="BU100" s="49" t="str">
        <f t="shared" si="117"/>
        <v/>
      </c>
      <c r="BV100" s="49" t="str">
        <f t="shared" si="117"/>
        <v/>
      </c>
      <c r="BW100" s="49" t="str">
        <f t="shared" si="117"/>
        <v/>
      </c>
      <c r="BX100" s="49" t="str">
        <f t="shared" si="117"/>
        <v/>
      </c>
      <c r="BY100" s="49" t="str">
        <f t="shared" si="117"/>
        <v/>
      </c>
      <c r="BZ100" s="49" t="str">
        <f t="shared" si="117"/>
        <v/>
      </c>
      <c r="CA100" s="49" t="str">
        <f t="shared" si="117"/>
        <v/>
      </c>
      <c r="CB100" s="49" t="str">
        <f t="shared" si="117"/>
        <v/>
      </c>
      <c r="CC100" s="49" t="str">
        <f t="shared" si="117"/>
        <v/>
      </c>
      <c r="CD100" s="49" t="str">
        <f t="shared" si="117"/>
        <v/>
      </c>
      <c r="CE100" s="49" t="str">
        <f t="shared" si="117"/>
        <v/>
      </c>
      <c r="CF100" s="49" t="str">
        <f t="shared" si="117"/>
        <v/>
      </c>
      <c r="CG100" s="49" t="str">
        <f t="shared" si="117"/>
        <v/>
      </c>
      <c r="CH100" s="49" t="str">
        <f t="shared" si="117"/>
        <v/>
      </c>
      <c r="CI100" s="49" t="str">
        <f t="shared" si="117"/>
        <v/>
      </c>
      <c r="CJ100" s="49" t="str">
        <f t="shared" si="117"/>
        <v/>
      </c>
      <c r="CK100" s="49" t="str">
        <f t="shared" si="117"/>
        <v/>
      </c>
      <c r="CL100" s="49" t="str">
        <f t="shared" si="117"/>
        <v/>
      </c>
      <c r="CM100" s="49" t="str">
        <f t="shared" si="117"/>
        <v/>
      </c>
      <c r="CN100" s="49" t="str">
        <f t="shared" si="117"/>
        <v/>
      </c>
      <c r="CO100" s="49" t="str">
        <f t="shared" si="117"/>
        <v/>
      </c>
      <c r="CP100" s="49" t="str">
        <f t="shared" si="117"/>
        <v/>
      </c>
      <c r="CQ100" s="49" t="str">
        <f t="shared" si="117"/>
        <v/>
      </c>
      <c r="CR100" s="49" t="str">
        <f t="shared" si="117"/>
        <v/>
      </c>
      <c r="CS100" s="49" t="str">
        <f t="shared" si="117"/>
        <v/>
      </c>
      <c r="CT100" s="49" t="str">
        <f t="shared" si="117"/>
        <v/>
      </c>
      <c r="CU100" s="49" t="str">
        <f t="shared" si="117"/>
        <v/>
      </c>
      <c r="CV100" s="49" t="str">
        <f t="shared" si="117"/>
        <v/>
      </c>
      <c r="CW100" s="49" t="str">
        <f t="shared" si="117"/>
        <v/>
      </c>
      <c r="CX100" s="49" t="str">
        <f t="shared" si="117"/>
        <v/>
      </c>
      <c r="CY100" s="49" t="str">
        <f t="shared" si="117"/>
        <v/>
      </c>
      <c r="CZ100" s="49" t="str">
        <f t="shared" si="117"/>
        <v/>
      </c>
      <c r="DA100" s="49" t="str">
        <f t="shared" si="117"/>
        <v/>
      </c>
      <c r="DB100" s="49" t="str">
        <f t="shared" si="117"/>
        <v/>
      </c>
      <c r="DC100" s="49" t="str">
        <f t="shared" si="117"/>
        <v/>
      </c>
      <c r="DD100" s="49" t="str">
        <f t="shared" si="117"/>
        <v/>
      </c>
      <c r="DE100" s="49" t="str">
        <f t="shared" si="117"/>
        <v/>
      </c>
      <c r="DF100" s="49" t="str">
        <f t="shared" si="117"/>
        <v/>
      </c>
      <c r="DG100" s="49" t="str">
        <f t="shared" si="117"/>
        <v/>
      </c>
      <c r="DH100" s="49" t="str">
        <f t="shared" si="117"/>
        <v/>
      </c>
      <c r="DI100" s="49" t="str">
        <f t="shared" si="117"/>
        <v/>
      </c>
      <c r="DJ100" s="49" t="str">
        <f t="shared" si="117"/>
        <v/>
      </c>
    </row>
    <row r="101" spans="1:114" ht="15.75" customHeight="1" x14ac:dyDescent="0.55000000000000004">
      <c r="A101" s="41" t="e">
        <f>MASANIELLO!#REF!</f>
        <v>#REF!</v>
      </c>
      <c r="B101" s="41" t="e">
        <f t="shared" si="2"/>
        <v>#VALUE!</v>
      </c>
      <c r="C101" s="42" t="e">
        <f t="shared" si="3"/>
        <v>#VALUE!</v>
      </c>
      <c r="D101" s="42" t="e">
        <f t="shared" si="4"/>
        <v>#VALUE!</v>
      </c>
      <c r="E101" s="42" t="e">
        <f t="shared" si="5"/>
        <v>#VALUE!</v>
      </c>
      <c r="F101" s="42" t="e">
        <f t="shared" si="6"/>
        <v>#VALUE!</v>
      </c>
      <c r="G101" s="50" t="e">
        <f t="shared" si="7"/>
        <v>#VALUE!</v>
      </c>
      <c r="H101" s="41" t="e">
        <f t="shared" si="8"/>
        <v>#VALUE!</v>
      </c>
      <c r="I101" s="41" t="e">
        <f t="shared" si="9"/>
        <v>#VALUE!</v>
      </c>
      <c r="J101" s="45" t="e">
        <f t="shared" si="10"/>
        <v>#VALUE!</v>
      </c>
      <c r="M101" s="48" t="b">
        <f t="shared" si="11"/>
        <v>0</v>
      </c>
      <c r="N101" s="49" t="e">
        <f t="shared" ref="N101:DJ101" si="118">IF(N$1&gt;$L$2,   "",   IF(N$1=$L$2,  1,  IF($L$2-N$1=$L$1-$M101, $L$3^($L$1-$M101), ($L$3*N102*O102/(N102+($L$3-1)*O102) ))))</f>
        <v>#DIV/0!</v>
      </c>
      <c r="O101" s="49" t="e">
        <f t="shared" si="118"/>
        <v>#DIV/0!</v>
      </c>
      <c r="P101" s="49" t="e">
        <f t="shared" si="118"/>
        <v>#DIV/0!</v>
      </c>
      <c r="Q101" s="49" t="e">
        <f t="shared" si="118"/>
        <v>#DIV/0!</v>
      </c>
      <c r="R101" s="49">
        <f t="shared" si="118"/>
        <v>1</v>
      </c>
      <c r="S101" s="49" t="str">
        <f t="shared" si="118"/>
        <v/>
      </c>
      <c r="T101" s="49" t="str">
        <f t="shared" si="118"/>
        <v/>
      </c>
      <c r="U101" s="49" t="str">
        <f t="shared" si="118"/>
        <v/>
      </c>
      <c r="V101" s="49" t="str">
        <f t="shared" si="118"/>
        <v/>
      </c>
      <c r="W101" s="49" t="str">
        <f t="shared" si="118"/>
        <v/>
      </c>
      <c r="X101" s="49" t="str">
        <f t="shared" si="118"/>
        <v/>
      </c>
      <c r="Y101" s="49" t="str">
        <f t="shared" si="118"/>
        <v/>
      </c>
      <c r="Z101" s="49" t="str">
        <f t="shared" si="118"/>
        <v/>
      </c>
      <c r="AA101" s="49" t="str">
        <f t="shared" si="118"/>
        <v/>
      </c>
      <c r="AB101" s="49" t="str">
        <f t="shared" si="118"/>
        <v/>
      </c>
      <c r="AC101" s="49" t="str">
        <f t="shared" si="118"/>
        <v/>
      </c>
      <c r="AD101" s="49" t="str">
        <f t="shared" si="118"/>
        <v/>
      </c>
      <c r="AE101" s="49" t="str">
        <f t="shared" si="118"/>
        <v/>
      </c>
      <c r="AF101" s="49" t="str">
        <f t="shared" si="118"/>
        <v/>
      </c>
      <c r="AG101" s="49" t="str">
        <f t="shared" si="118"/>
        <v/>
      </c>
      <c r="AH101" s="49" t="str">
        <f t="shared" si="118"/>
        <v/>
      </c>
      <c r="AI101" s="49" t="str">
        <f t="shared" si="118"/>
        <v/>
      </c>
      <c r="AJ101" s="49" t="str">
        <f t="shared" si="118"/>
        <v/>
      </c>
      <c r="AK101" s="49" t="str">
        <f t="shared" si="118"/>
        <v/>
      </c>
      <c r="AL101" s="49" t="str">
        <f t="shared" si="118"/>
        <v/>
      </c>
      <c r="AM101" s="49" t="str">
        <f t="shared" si="118"/>
        <v/>
      </c>
      <c r="AN101" s="49" t="str">
        <f t="shared" si="118"/>
        <v/>
      </c>
      <c r="AO101" s="49" t="str">
        <f t="shared" si="118"/>
        <v/>
      </c>
      <c r="AP101" s="49" t="str">
        <f t="shared" si="118"/>
        <v/>
      </c>
      <c r="AQ101" s="49" t="str">
        <f t="shared" si="118"/>
        <v/>
      </c>
      <c r="AR101" s="49" t="str">
        <f t="shared" si="118"/>
        <v/>
      </c>
      <c r="AS101" s="49" t="str">
        <f t="shared" si="118"/>
        <v/>
      </c>
      <c r="AT101" s="49" t="str">
        <f t="shared" si="118"/>
        <v/>
      </c>
      <c r="AU101" s="49" t="str">
        <f t="shared" si="118"/>
        <v/>
      </c>
      <c r="AV101" s="49" t="str">
        <f t="shared" si="118"/>
        <v/>
      </c>
      <c r="AW101" s="49" t="str">
        <f t="shared" si="118"/>
        <v/>
      </c>
      <c r="AX101" s="49" t="str">
        <f t="shared" si="118"/>
        <v/>
      </c>
      <c r="AY101" s="49" t="str">
        <f t="shared" si="118"/>
        <v/>
      </c>
      <c r="AZ101" s="49" t="str">
        <f t="shared" si="118"/>
        <v/>
      </c>
      <c r="BA101" s="49" t="str">
        <f t="shared" si="118"/>
        <v/>
      </c>
      <c r="BB101" s="49" t="str">
        <f t="shared" si="118"/>
        <v/>
      </c>
      <c r="BC101" s="49" t="str">
        <f t="shared" si="118"/>
        <v/>
      </c>
      <c r="BD101" s="49" t="str">
        <f t="shared" si="118"/>
        <v/>
      </c>
      <c r="BE101" s="49" t="str">
        <f t="shared" si="118"/>
        <v/>
      </c>
      <c r="BF101" s="49" t="str">
        <f t="shared" si="118"/>
        <v/>
      </c>
      <c r="BG101" s="49" t="str">
        <f t="shared" si="118"/>
        <v/>
      </c>
      <c r="BH101" s="49" t="str">
        <f t="shared" si="118"/>
        <v/>
      </c>
      <c r="BI101" s="49" t="str">
        <f t="shared" si="118"/>
        <v/>
      </c>
      <c r="BJ101" s="49" t="str">
        <f t="shared" si="118"/>
        <v/>
      </c>
      <c r="BK101" s="49" t="str">
        <f t="shared" si="118"/>
        <v/>
      </c>
      <c r="BL101" s="49" t="str">
        <f t="shared" si="118"/>
        <v/>
      </c>
      <c r="BM101" s="49" t="str">
        <f t="shared" si="118"/>
        <v/>
      </c>
      <c r="BN101" s="49" t="str">
        <f t="shared" si="118"/>
        <v/>
      </c>
      <c r="BO101" s="49" t="str">
        <f t="shared" si="118"/>
        <v/>
      </c>
      <c r="BP101" s="49" t="str">
        <f t="shared" si="118"/>
        <v/>
      </c>
      <c r="BQ101" s="49" t="str">
        <f t="shared" si="118"/>
        <v/>
      </c>
      <c r="BR101" s="49" t="str">
        <f t="shared" si="118"/>
        <v/>
      </c>
      <c r="BS101" s="49" t="str">
        <f t="shared" si="118"/>
        <v/>
      </c>
      <c r="BT101" s="49" t="str">
        <f t="shared" si="118"/>
        <v/>
      </c>
      <c r="BU101" s="49" t="str">
        <f t="shared" si="118"/>
        <v/>
      </c>
      <c r="BV101" s="49" t="str">
        <f t="shared" si="118"/>
        <v/>
      </c>
      <c r="BW101" s="49" t="str">
        <f t="shared" si="118"/>
        <v/>
      </c>
      <c r="BX101" s="49" t="str">
        <f t="shared" si="118"/>
        <v/>
      </c>
      <c r="BY101" s="49" t="str">
        <f t="shared" si="118"/>
        <v/>
      </c>
      <c r="BZ101" s="49" t="str">
        <f t="shared" si="118"/>
        <v/>
      </c>
      <c r="CA101" s="49" t="str">
        <f t="shared" si="118"/>
        <v/>
      </c>
      <c r="CB101" s="49" t="str">
        <f t="shared" si="118"/>
        <v/>
      </c>
      <c r="CC101" s="49" t="str">
        <f t="shared" si="118"/>
        <v/>
      </c>
      <c r="CD101" s="49" t="str">
        <f t="shared" si="118"/>
        <v/>
      </c>
      <c r="CE101" s="49" t="str">
        <f t="shared" si="118"/>
        <v/>
      </c>
      <c r="CF101" s="49" t="str">
        <f t="shared" si="118"/>
        <v/>
      </c>
      <c r="CG101" s="49" t="str">
        <f t="shared" si="118"/>
        <v/>
      </c>
      <c r="CH101" s="49" t="str">
        <f t="shared" si="118"/>
        <v/>
      </c>
      <c r="CI101" s="49" t="str">
        <f t="shared" si="118"/>
        <v/>
      </c>
      <c r="CJ101" s="49" t="str">
        <f t="shared" si="118"/>
        <v/>
      </c>
      <c r="CK101" s="49" t="str">
        <f t="shared" si="118"/>
        <v/>
      </c>
      <c r="CL101" s="49" t="str">
        <f t="shared" si="118"/>
        <v/>
      </c>
      <c r="CM101" s="49" t="str">
        <f t="shared" si="118"/>
        <v/>
      </c>
      <c r="CN101" s="49" t="str">
        <f t="shared" si="118"/>
        <v/>
      </c>
      <c r="CO101" s="49" t="str">
        <f t="shared" si="118"/>
        <v/>
      </c>
      <c r="CP101" s="49" t="str">
        <f t="shared" si="118"/>
        <v/>
      </c>
      <c r="CQ101" s="49" t="str">
        <f t="shared" si="118"/>
        <v/>
      </c>
      <c r="CR101" s="49" t="str">
        <f t="shared" si="118"/>
        <v/>
      </c>
      <c r="CS101" s="49" t="str">
        <f t="shared" si="118"/>
        <v/>
      </c>
      <c r="CT101" s="49" t="str">
        <f t="shared" si="118"/>
        <v/>
      </c>
      <c r="CU101" s="49" t="str">
        <f t="shared" si="118"/>
        <v/>
      </c>
      <c r="CV101" s="49" t="str">
        <f t="shared" si="118"/>
        <v/>
      </c>
      <c r="CW101" s="49" t="str">
        <f t="shared" si="118"/>
        <v/>
      </c>
      <c r="CX101" s="49" t="str">
        <f t="shared" si="118"/>
        <v/>
      </c>
      <c r="CY101" s="49" t="str">
        <f t="shared" si="118"/>
        <v/>
      </c>
      <c r="CZ101" s="49" t="str">
        <f t="shared" si="118"/>
        <v/>
      </c>
      <c r="DA101" s="49" t="str">
        <f t="shared" si="118"/>
        <v/>
      </c>
      <c r="DB101" s="49" t="str">
        <f t="shared" si="118"/>
        <v/>
      </c>
      <c r="DC101" s="49" t="str">
        <f t="shared" si="118"/>
        <v/>
      </c>
      <c r="DD101" s="49" t="str">
        <f t="shared" si="118"/>
        <v/>
      </c>
      <c r="DE101" s="49" t="str">
        <f t="shared" si="118"/>
        <v/>
      </c>
      <c r="DF101" s="49" t="str">
        <f t="shared" si="118"/>
        <v/>
      </c>
      <c r="DG101" s="49" t="str">
        <f t="shared" si="118"/>
        <v/>
      </c>
      <c r="DH101" s="49" t="str">
        <f t="shared" si="118"/>
        <v/>
      </c>
      <c r="DI101" s="49" t="str">
        <f t="shared" si="118"/>
        <v/>
      </c>
      <c r="DJ101" s="49" t="str">
        <f t="shared" si="118"/>
        <v/>
      </c>
    </row>
    <row r="102" spans="1:114" ht="15.75" customHeight="1" x14ac:dyDescent="0.55000000000000004">
      <c r="A102" s="41" t="e">
        <f>MASANIELLO!#REF!</f>
        <v>#REF!</v>
      </c>
      <c r="B102" s="41" t="e">
        <f t="shared" si="2"/>
        <v>#VALUE!</v>
      </c>
      <c r="C102" s="42" t="e">
        <f t="shared" si="3"/>
        <v>#VALUE!</v>
      </c>
      <c r="D102" s="42" t="e">
        <f t="shared" si="4"/>
        <v>#VALUE!</v>
      </c>
      <c r="E102" s="42" t="e">
        <f t="shared" si="5"/>
        <v>#VALUE!</v>
      </c>
      <c r="F102" s="42" t="e">
        <f t="shared" si="6"/>
        <v>#VALUE!</v>
      </c>
      <c r="G102" s="50" t="e">
        <f t="shared" si="7"/>
        <v>#VALUE!</v>
      </c>
      <c r="H102" s="41" t="e">
        <f t="shared" si="8"/>
        <v>#VALUE!</v>
      </c>
      <c r="I102" s="41" t="e">
        <f t="shared" si="9"/>
        <v>#VALUE!</v>
      </c>
      <c r="J102" s="45" t="e">
        <f t="shared" si="10"/>
        <v>#VALUE!</v>
      </c>
      <c r="M102" s="54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5"/>
      <c r="BZ102" s="55"/>
      <c r="CA102" s="55"/>
      <c r="CB102" s="55"/>
      <c r="CC102" s="55"/>
      <c r="CD102" s="55"/>
      <c r="CE102" s="55"/>
      <c r="CF102" s="55"/>
      <c r="CG102" s="55"/>
      <c r="CH102" s="55"/>
      <c r="CI102" s="55"/>
      <c r="CJ102" s="55"/>
      <c r="CK102" s="55"/>
      <c r="CL102" s="55"/>
      <c r="CM102" s="55"/>
      <c r="CN102" s="55"/>
      <c r="CO102" s="55"/>
      <c r="CP102" s="55"/>
      <c r="CQ102" s="55"/>
      <c r="CR102" s="55"/>
      <c r="CS102" s="55"/>
      <c r="CT102" s="55"/>
      <c r="CU102" s="55"/>
      <c r="CV102" s="55"/>
      <c r="CW102" s="55"/>
      <c r="CX102" s="55"/>
      <c r="CY102" s="55"/>
      <c r="CZ102" s="55"/>
      <c r="DA102" s="55"/>
      <c r="DB102" s="55"/>
      <c r="DC102" s="55"/>
      <c r="DD102" s="55"/>
      <c r="DE102" s="55"/>
      <c r="DF102" s="55"/>
      <c r="DG102" s="55"/>
      <c r="DH102" s="55"/>
      <c r="DI102" s="55"/>
      <c r="DJ102" s="55"/>
    </row>
    <row r="103" spans="1:114" ht="15.75" customHeight="1" x14ac:dyDescent="0.3">
      <c r="A103" s="56"/>
      <c r="B103" s="56"/>
      <c r="C103" s="57"/>
      <c r="D103" s="57"/>
      <c r="E103" s="57"/>
      <c r="F103" s="57"/>
      <c r="G103" s="56"/>
      <c r="H103" s="56"/>
      <c r="I103" s="56"/>
      <c r="J103" s="56"/>
      <c r="K103" s="55"/>
      <c r="L103" s="55"/>
      <c r="M103" s="54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55"/>
      <c r="BL103" s="55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  <c r="BW103" s="55"/>
      <c r="BX103" s="55"/>
      <c r="BY103" s="55"/>
      <c r="BZ103" s="55"/>
      <c r="CA103" s="55"/>
      <c r="CB103" s="55"/>
      <c r="CC103" s="55"/>
      <c r="CD103" s="55"/>
      <c r="CE103" s="55"/>
      <c r="CF103" s="55"/>
      <c r="CG103" s="55"/>
      <c r="CH103" s="55"/>
      <c r="CI103" s="55"/>
      <c r="CJ103" s="55"/>
      <c r="CK103" s="55"/>
      <c r="CL103" s="55"/>
      <c r="CM103" s="55"/>
      <c r="CN103" s="55"/>
      <c r="CO103" s="55"/>
      <c r="CP103" s="55"/>
      <c r="CQ103" s="55"/>
      <c r="CR103" s="55"/>
      <c r="CS103" s="55"/>
      <c r="CT103" s="55"/>
      <c r="CU103" s="55"/>
      <c r="CV103" s="55"/>
      <c r="CW103" s="55"/>
      <c r="CX103" s="55"/>
      <c r="CY103" s="55"/>
      <c r="CZ103" s="55"/>
      <c r="DA103" s="55"/>
      <c r="DB103" s="55"/>
      <c r="DC103" s="55"/>
      <c r="DD103" s="55"/>
      <c r="DE103" s="55"/>
      <c r="DF103" s="55"/>
      <c r="DG103" s="55"/>
      <c r="DH103" s="55"/>
      <c r="DI103" s="55"/>
      <c r="DJ103" s="55"/>
    </row>
    <row r="104" spans="1:114" ht="15.75" customHeight="1" x14ac:dyDescent="0.25"/>
    <row r="105" spans="1:114" ht="15.75" customHeight="1" x14ac:dyDescent="0.25"/>
    <row r="106" spans="1:114" ht="15.75" customHeight="1" x14ac:dyDescent="0.25"/>
    <row r="107" spans="1:114" ht="15.75" customHeight="1" x14ac:dyDescent="0.25"/>
    <row r="108" spans="1:114" ht="15.75" customHeight="1" x14ac:dyDescent="0.25"/>
    <row r="109" spans="1:114" ht="15.75" customHeight="1" x14ac:dyDescent="0.25"/>
    <row r="110" spans="1:114" ht="15.75" customHeight="1" x14ac:dyDescent="0.25"/>
    <row r="111" spans="1:114" ht="15.75" customHeight="1" x14ac:dyDescent="0.25"/>
    <row r="112" spans="1:11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>
      <selection sqref="A1:M1"/>
    </sheetView>
  </sheetViews>
  <sheetFormatPr defaultColWidth="12.6328125" defaultRowHeight="15" customHeight="1" x14ac:dyDescent="0.25"/>
  <cols>
    <col min="1" max="1" width="12.81640625" customWidth="1"/>
    <col min="2" max="2" width="20" customWidth="1"/>
    <col min="3" max="6" width="8.6328125" customWidth="1"/>
    <col min="7" max="7" width="19.54296875" customWidth="1"/>
    <col min="8" max="8" width="24.54296875" customWidth="1"/>
    <col min="9" max="9" width="37.7265625" customWidth="1"/>
    <col min="10" max="26" width="8.6328125" customWidth="1"/>
  </cols>
  <sheetData>
    <row r="1" spans="1:19" ht="12" customHeight="1" x14ac:dyDescent="0.25">
      <c r="A1" s="66" t="s">
        <v>41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9" ht="12" customHeight="1" x14ac:dyDescent="0.25">
      <c r="A2" s="69" t="s">
        <v>42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9" ht="12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</row>
    <row r="4" spans="1:19" ht="17.25" customHeight="1" x14ac:dyDescent="0.25">
      <c r="G4" s="58" t="s">
        <v>43</v>
      </c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</row>
    <row r="5" spans="1:19" ht="15" customHeight="1" x14ac:dyDescent="0.25">
      <c r="G5" s="60" t="s">
        <v>44</v>
      </c>
      <c r="H5" s="60"/>
      <c r="I5" s="60"/>
      <c r="J5" s="60"/>
      <c r="K5" s="60"/>
      <c r="L5" s="60"/>
      <c r="M5" s="59"/>
      <c r="N5" s="59"/>
      <c r="O5" s="59"/>
      <c r="P5" s="59"/>
      <c r="Q5" s="59"/>
      <c r="R5" s="59"/>
      <c r="S5" s="59"/>
    </row>
    <row r="6" spans="1:19" ht="16.5" customHeight="1" x14ac:dyDescent="0.25">
      <c r="G6" s="60" t="s">
        <v>45</v>
      </c>
      <c r="H6" s="60"/>
      <c r="I6" s="60"/>
      <c r="J6" s="60"/>
      <c r="K6" s="60"/>
      <c r="L6" s="60"/>
      <c r="M6" s="59"/>
      <c r="N6" s="59"/>
      <c r="O6" s="59"/>
      <c r="P6" s="59"/>
      <c r="Q6" s="59"/>
      <c r="R6" s="59"/>
      <c r="S6" s="59"/>
    </row>
    <row r="7" spans="1:19" ht="15.75" customHeight="1" x14ac:dyDescent="0.25">
      <c r="G7" s="60" t="s">
        <v>46</v>
      </c>
      <c r="H7" s="60"/>
      <c r="I7" s="60"/>
      <c r="J7" s="60"/>
      <c r="K7" s="60"/>
      <c r="L7" s="60"/>
      <c r="M7" s="59"/>
      <c r="N7" s="59"/>
      <c r="O7" s="59"/>
      <c r="P7" s="59"/>
      <c r="Q7" s="59"/>
      <c r="R7" s="59"/>
      <c r="S7" s="59"/>
    </row>
    <row r="8" spans="1:19" ht="16.5" customHeight="1" x14ac:dyDescent="0.25">
      <c r="G8" s="60" t="s">
        <v>47</v>
      </c>
      <c r="H8" s="60"/>
      <c r="I8" s="60"/>
      <c r="J8" s="60"/>
      <c r="K8" s="60"/>
      <c r="L8" s="60"/>
      <c r="M8" s="59"/>
      <c r="N8" s="59"/>
      <c r="O8" s="59"/>
      <c r="P8" s="59"/>
      <c r="Q8" s="59"/>
      <c r="R8" s="59"/>
      <c r="S8" s="59"/>
    </row>
    <row r="9" spans="1:19" ht="12" customHeight="1" x14ac:dyDescent="0.25">
      <c r="G9" s="59"/>
      <c r="H9" s="61"/>
      <c r="I9" s="61"/>
      <c r="J9" s="59"/>
      <c r="K9" s="59"/>
      <c r="L9" s="59"/>
      <c r="M9" s="59"/>
      <c r="N9" s="59"/>
      <c r="O9" s="59"/>
      <c r="P9" s="59"/>
      <c r="Q9" s="59"/>
      <c r="R9" s="59"/>
      <c r="S9" s="59"/>
    </row>
    <row r="10" spans="1:19" ht="16.5" customHeight="1" x14ac:dyDescent="0.25">
      <c r="G10" s="60" t="s">
        <v>48</v>
      </c>
      <c r="H10" s="60"/>
      <c r="I10" s="60"/>
      <c r="J10" s="60"/>
      <c r="K10" s="60"/>
      <c r="L10" s="60"/>
      <c r="M10" s="59"/>
      <c r="N10" s="59"/>
      <c r="O10" s="59"/>
      <c r="P10" s="59"/>
      <c r="Q10" s="59"/>
      <c r="R10" s="59"/>
      <c r="S10" s="59"/>
    </row>
    <row r="11" spans="1:19" ht="12" customHeight="1" x14ac:dyDescent="0.25">
      <c r="G11" s="60" t="s">
        <v>49</v>
      </c>
      <c r="H11" s="60"/>
      <c r="I11" s="60"/>
      <c r="J11" s="60"/>
      <c r="K11" s="60"/>
      <c r="L11" s="60"/>
      <c r="M11" s="59"/>
      <c r="N11" s="59"/>
      <c r="O11" s="59"/>
      <c r="P11" s="59"/>
      <c r="Q11" s="59"/>
      <c r="R11" s="59"/>
      <c r="S11" s="59"/>
    </row>
    <row r="12" spans="1:19" ht="16.5" customHeight="1" x14ac:dyDescent="0.25">
      <c r="G12" s="60" t="s">
        <v>50</v>
      </c>
      <c r="H12" s="60"/>
      <c r="I12" s="60"/>
      <c r="J12" s="60"/>
      <c r="K12" s="60"/>
      <c r="L12" s="60"/>
      <c r="M12" s="59"/>
      <c r="N12" s="59"/>
      <c r="O12" s="59"/>
      <c r="P12" s="59"/>
      <c r="Q12" s="59"/>
      <c r="R12" s="59"/>
      <c r="S12" s="59"/>
    </row>
    <row r="13" spans="1:19" ht="18" customHeight="1" x14ac:dyDescent="0.25">
      <c r="G13" s="60" t="s">
        <v>51</v>
      </c>
      <c r="H13" s="60"/>
      <c r="I13" s="60"/>
      <c r="J13" s="60"/>
      <c r="K13" s="60"/>
      <c r="L13" s="60"/>
      <c r="M13" s="59"/>
      <c r="N13" s="59"/>
      <c r="O13" s="59"/>
      <c r="P13" s="59"/>
      <c r="Q13" s="59"/>
      <c r="R13" s="59"/>
      <c r="S13" s="59"/>
    </row>
    <row r="14" spans="1:19" ht="12" customHeight="1" x14ac:dyDescent="0.25">
      <c r="G14" s="60"/>
      <c r="H14" s="60"/>
      <c r="I14" s="60"/>
      <c r="J14" s="60"/>
      <c r="K14" s="60"/>
      <c r="L14" s="60"/>
      <c r="M14" s="59"/>
      <c r="N14" s="59"/>
      <c r="O14" s="59"/>
      <c r="P14" s="59"/>
      <c r="Q14" s="59"/>
      <c r="R14" s="59"/>
      <c r="S14" s="59"/>
    </row>
    <row r="15" spans="1:19" ht="18" customHeight="1" x14ac:dyDescent="0.25">
      <c r="G15" s="62" t="s">
        <v>52</v>
      </c>
      <c r="H15" s="60"/>
      <c r="I15" s="60"/>
      <c r="J15" s="60"/>
      <c r="K15" s="60"/>
      <c r="L15" s="60"/>
      <c r="M15" s="59"/>
      <c r="N15" s="59"/>
      <c r="O15" s="59"/>
      <c r="P15" s="59"/>
      <c r="Q15" s="59"/>
      <c r="R15" s="59"/>
      <c r="S15" s="59"/>
    </row>
    <row r="16" spans="1:19" ht="12" customHeight="1" x14ac:dyDescent="0.25">
      <c r="G16" s="60" t="s">
        <v>53</v>
      </c>
      <c r="H16" s="60"/>
      <c r="I16" s="60"/>
      <c r="J16" s="60"/>
      <c r="K16" s="60"/>
      <c r="L16" s="60"/>
      <c r="M16" s="59"/>
      <c r="N16" s="59"/>
      <c r="O16" s="59"/>
      <c r="P16" s="59"/>
      <c r="Q16" s="59"/>
      <c r="R16" s="59"/>
      <c r="S16" s="59"/>
    </row>
    <row r="17" spans="1:19" ht="17.25" customHeight="1" x14ac:dyDescent="0.25">
      <c r="G17" s="60" t="s">
        <v>54</v>
      </c>
      <c r="H17" s="60"/>
      <c r="I17" s="60"/>
      <c r="J17" s="60"/>
      <c r="K17" s="60"/>
      <c r="L17" s="60"/>
      <c r="M17" s="59"/>
      <c r="N17" s="59"/>
      <c r="O17" s="59"/>
      <c r="P17" s="59"/>
      <c r="Q17" s="59"/>
      <c r="R17" s="59"/>
      <c r="S17" s="59"/>
    </row>
    <row r="18" spans="1:19" ht="12" customHeight="1" x14ac:dyDescent="0.25">
      <c r="G18" s="60"/>
      <c r="H18" s="60"/>
      <c r="I18" s="60"/>
      <c r="J18" s="60"/>
      <c r="K18" s="60"/>
      <c r="L18" s="60"/>
      <c r="M18" s="59"/>
      <c r="N18" s="59"/>
      <c r="O18" s="59"/>
      <c r="P18" s="59"/>
      <c r="Q18" s="59"/>
      <c r="R18" s="59"/>
      <c r="S18" s="59"/>
    </row>
    <row r="19" spans="1:19" ht="12" customHeight="1" x14ac:dyDescent="0.25">
      <c r="G19" s="63"/>
      <c r="H19" s="64" t="s">
        <v>55</v>
      </c>
      <c r="I19" s="63" t="s">
        <v>56</v>
      </c>
      <c r="J19" s="63"/>
      <c r="K19" s="63"/>
      <c r="L19" s="63"/>
    </row>
    <row r="20" spans="1:19" ht="12" customHeight="1" x14ac:dyDescent="0.25">
      <c r="G20" s="63"/>
      <c r="H20" s="64" t="s">
        <v>2</v>
      </c>
      <c r="I20" s="63" t="s">
        <v>57</v>
      </c>
      <c r="J20" s="63"/>
      <c r="K20" s="63"/>
      <c r="L20" s="63"/>
    </row>
    <row r="21" spans="1:19" ht="12" customHeight="1" x14ac:dyDescent="0.25">
      <c r="G21" s="63"/>
      <c r="H21" s="64" t="s">
        <v>58</v>
      </c>
      <c r="I21" s="63" t="s">
        <v>59</v>
      </c>
      <c r="J21" s="63"/>
      <c r="K21" s="63"/>
      <c r="L21" s="63"/>
    </row>
    <row r="22" spans="1:19" ht="12" customHeight="1" x14ac:dyDescent="0.25">
      <c r="G22" s="63"/>
      <c r="H22" s="64" t="s">
        <v>60</v>
      </c>
      <c r="I22" s="63" t="s">
        <v>61</v>
      </c>
      <c r="J22" s="63"/>
      <c r="K22" s="63"/>
      <c r="L22" s="63"/>
    </row>
    <row r="23" spans="1:19" ht="12" customHeight="1" x14ac:dyDescent="0.25">
      <c r="G23" s="63"/>
      <c r="H23" s="64" t="s">
        <v>62</v>
      </c>
      <c r="I23" s="63" t="s">
        <v>63</v>
      </c>
      <c r="J23" s="63"/>
      <c r="K23" s="63"/>
      <c r="L23" s="63"/>
    </row>
    <row r="24" spans="1:19" ht="12" customHeight="1" x14ac:dyDescent="0.25">
      <c r="G24" s="63"/>
      <c r="H24" s="64" t="s">
        <v>64</v>
      </c>
      <c r="I24" s="63" t="s">
        <v>65</v>
      </c>
      <c r="J24" s="63"/>
      <c r="K24" s="63"/>
      <c r="L24" s="63"/>
    </row>
    <row r="25" spans="1:19" ht="12" customHeight="1" x14ac:dyDescent="0.25">
      <c r="B25" s="73" t="s">
        <v>66</v>
      </c>
      <c r="C25" s="71"/>
      <c r="D25" s="71"/>
      <c r="E25" s="71"/>
      <c r="G25" s="63"/>
      <c r="H25" s="64" t="s">
        <v>67</v>
      </c>
      <c r="I25" s="63" t="s">
        <v>68</v>
      </c>
      <c r="J25" s="63"/>
      <c r="K25" s="63"/>
      <c r="L25" s="63"/>
    </row>
    <row r="26" spans="1:19" ht="12" customHeight="1" x14ac:dyDescent="0.25">
      <c r="B26" s="73" t="s">
        <v>69</v>
      </c>
      <c r="C26" s="71"/>
      <c r="D26" s="71"/>
      <c r="E26" s="71"/>
      <c r="G26" s="63"/>
      <c r="H26" s="63"/>
      <c r="I26" s="63"/>
      <c r="J26" s="63"/>
      <c r="K26" s="63"/>
      <c r="L26" s="63"/>
    </row>
    <row r="27" spans="1:19" ht="12" customHeight="1" x14ac:dyDescent="0.25">
      <c r="A27" s="65"/>
      <c r="H27" s="1"/>
    </row>
    <row r="28" spans="1:19" ht="12" customHeight="1" x14ac:dyDescent="0.25"/>
    <row r="29" spans="1:19" ht="12" customHeight="1" x14ac:dyDescent="0.25"/>
    <row r="30" spans="1:19" ht="12" customHeight="1" x14ac:dyDescent="0.25"/>
    <row r="31" spans="1:19" ht="12" customHeight="1" x14ac:dyDescent="0.25"/>
    <row r="32" spans="1:19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5">
    <mergeCell ref="A1:M1"/>
    <mergeCell ref="A2:M2"/>
    <mergeCell ref="A3:M3"/>
    <mergeCell ref="B25:E25"/>
    <mergeCell ref="B26:E26"/>
  </mergeCells>
  <hyperlinks>
    <hyperlink ref="A2" r:id="rId1" xr:uid="{00000000-0004-0000-0300-000000000000}"/>
  </hyperlinks>
  <pageMargins left="0.7" right="0.7" top="0.75" bottom="0.75" header="0" footer="0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MASANIELLO</vt:lpstr>
      <vt:lpstr>Sheet1</vt:lpstr>
      <vt:lpstr>algoritmo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2017-09-14T15:45:43Z</dcterms:created>
  <dcterms:modified xsi:type="dcterms:W3CDTF">2026-10-08T17:16:19Z</dcterms:modified>
</cp:coreProperties>
</file>